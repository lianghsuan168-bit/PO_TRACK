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YYC\OneDrive - 順益集團\文件\"/>
    </mc:Choice>
  </mc:AlternateContent>
  <xr:revisionPtr revIDLastSave="0" documentId="13_ncr:1_{5431D83E-5FF2-4E13-9D1B-C9D75CDC856B}" xr6:coauthVersionLast="47" xr6:coauthVersionMax="47" xr10:uidLastSave="{00000000-0000-0000-0000-000000000000}"/>
  <bookViews>
    <workbookView xWindow="12195" yWindow="825" windowWidth="15465" windowHeight="14100" tabRatio="595" firstSheet="1" activeTab="1" xr2:uid="{00000000-000D-0000-FFFF-FFFF00000000}"/>
  </bookViews>
  <sheets>
    <sheet name="總表" sheetId="1" r:id="rId1"/>
    <sheet name="倉庫" sheetId="2" r:id="rId2"/>
    <sheet name="點交紀錄" sheetId="3" r:id="rId3"/>
    <sheet name="HBO專案" sheetId="4" r:id="rId4"/>
    <sheet name="IQC" sheetId="5" r:id="rId5"/>
    <sheet name="簽收單點交紀錄" sheetId="6" r:id="rId6"/>
  </sheets>
  <definedNames>
    <definedName name="_xlnm._FilterDatabase" localSheetId="3" hidden="1">HBO專案!$A$2:$K$27</definedName>
    <definedName name="_xlnm._FilterDatabase" localSheetId="4" hidden="1">IQC!$A$2:$K$13</definedName>
    <definedName name="_xlnm._FilterDatabase" localSheetId="1" hidden="1">倉庫!$A$2:$M$65</definedName>
    <definedName name="_xlnm._FilterDatabase" localSheetId="0" hidden="1">總表!$A$2:$Q$323</definedName>
    <definedName name="_xlnm._FilterDatabase" localSheetId="2" hidden="1">點交紀錄!$A$2:$H$36</definedName>
    <definedName name="_xlnm._FilterDatabase" localSheetId="5" hidden="1">簽收單點交紀錄!$A$2:$I$39</definedName>
    <definedName name="_xlnm.Print_Area" localSheetId="3">HBO專案!$A$2:$K$2</definedName>
    <definedName name="_xlnm.Print_Area" localSheetId="4">IQC!$A$2:$K$2</definedName>
    <definedName name="_xlnm.Print_Area" localSheetId="1">倉庫!$A$2:$L$2</definedName>
    <definedName name="_xlnm.Print_Area" localSheetId="0">總表!$A$2:$O$30</definedName>
    <definedName name="_xlnm.Print_Area" localSheetId="2">點交紀錄!$A$2:$G$2</definedName>
    <definedName name="_xlnm.Print_Area" localSheetId="5">簽收單點交紀錄!$A$2:$H$2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2" i="1" l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K67" i="1"/>
  <c r="K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67" i="1" l="1"/>
  <c r="N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Doris</author>
  </authors>
  <commentList>
    <comment ref="C5" authorId="0" shapeId="0" xr:uid="{00000000-0006-0000-0000-000001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9"/>
            <rFont val="新細明體"/>
            <family val="1"/>
            <charset val="136"/>
          </rPr>
          <t xml:space="preserve">3/11 交55支
</t>
        </r>
      </text>
    </comment>
    <comment ref="C13" authorId="0" shapeId="0" xr:uid="{00000000-0006-0000-0000-000002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9"/>
            <rFont val="新細明體"/>
            <family val="1"/>
            <charset val="136"/>
          </rPr>
          <t xml:space="preserve">3/11 交T10*90替代T10*80-10支
</t>
        </r>
      </text>
    </comment>
    <comment ref="C21" authorId="0" shapeId="0" xr:uid="{00000000-0006-0000-0000-000003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9"/>
            <rFont val="新細明體"/>
            <family val="1"/>
            <charset val="136"/>
          </rPr>
          <t>3/11 交5個</t>
        </r>
      </text>
    </comment>
    <comment ref="C26" authorId="0" shapeId="0" xr:uid="{00000000-0006-0000-0000-000004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12"/>
            <rFont val="微軟正黑體"/>
            <family val="2"/>
            <charset val="136"/>
          </rPr>
          <t>2/27 交2支樣品</t>
        </r>
      </text>
    </comment>
    <comment ref="C64" authorId="0" shapeId="0" xr:uid="{00000000-0006-0000-0000-000005000000}">
      <text>
        <r>
          <rPr>
            <b/>
            <sz val="10"/>
            <rFont val="新細明體"/>
            <family val="1"/>
            <charset val="136"/>
          </rPr>
          <t xml:space="preserve">Doris:
</t>
        </r>
        <r>
          <rPr>
            <sz val="12"/>
            <rFont val="微軟正黑體"/>
            <family val="2"/>
            <charset val="136"/>
          </rPr>
          <t xml:space="preserve">2/27 交10盒
</t>
        </r>
      </text>
    </comment>
    <comment ref="C81" authorId="0" shapeId="0" xr:uid="{00000000-0006-0000-0000-000006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10"/>
            <rFont val="微軟正黑體"/>
            <family val="2"/>
            <charset val="136"/>
          </rPr>
          <t xml:space="preserve">3/10 交1組試用(1棒+10磨砂布)
</t>
        </r>
        <r>
          <rPr>
            <sz val="10"/>
            <rFont val="微軟正黑體"/>
            <family val="2"/>
            <charset val="136"/>
          </rPr>
          <t xml:space="preserve">3/13 交8組
</t>
        </r>
        <r>
          <rPr>
            <sz val="10"/>
            <rFont val="微軟正黑體"/>
            <family val="2"/>
            <charset val="136"/>
          </rPr>
          <t>3/17 交2組</t>
        </r>
      </text>
    </comment>
    <comment ref="C175" authorId="0" shapeId="0" xr:uid="{00000000-0006-0000-0000-000007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10"/>
            <rFont val="微軟正黑體"/>
            <family val="2"/>
            <charset val="136"/>
          </rPr>
          <t>3/4 交XL*30、5XL*37</t>
        </r>
      </text>
    </comment>
    <comment ref="C182" authorId="0" shapeId="0" xr:uid="{00000000-0006-0000-0000-000008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9"/>
            <rFont val="新細明體"/>
            <family val="1"/>
            <charset val="136"/>
          </rPr>
          <t xml:space="preserve">3/13 交18支
</t>
        </r>
      </text>
    </comment>
    <comment ref="H230" authorId="0" shapeId="0" xr:uid="{00000000-0006-0000-0000-000009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12"/>
            <rFont val="微軟正黑體"/>
            <family val="2"/>
            <charset val="136"/>
          </rPr>
          <t xml:space="preserve">USB電源轉接頭
</t>
        </r>
      </text>
    </comment>
    <comment ref="B246" authorId="0" shapeId="0" xr:uid="{00000000-0006-0000-0000-00000A000000}">
      <text>
        <r>
          <rPr>
            <b/>
            <sz val="9"/>
            <rFont val="新細明體"/>
            <family val="1"/>
            <charset val="136"/>
          </rPr>
          <t>Doris:</t>
        </r>
        <r>
          <rPr>
            <sz val="9"/>
            <rFont val="新細明體"/>
            <family val="1"/>
            <charset val="136"/>
          </rPr>
          <t xml:space="preserve">
</t>
        </r>
        <r>
          <rPr>
            <sz val="12"/>
            <rFont val="新細明體"/>
            <family val="1"/>
            <charset val="136"/>
          </rPr>
          <t>未到 39*75、40*75、42*80</t>
        </r>
      </text>
    </comment>
  </commentList>
</comments>
</file>

<file path=xl/sharedStrings.xml><?xml version="1.0" encoding="utf-8"?>
<sst xmlns="http://schemas.openxmlformats.org/spreadsheetml/2006/main" count="3632" uniqueCount="831">
  <si>
    <t>坤鼎鑫業訂單總表-群邁產線</t>
  </si>
  <si>
    <t>序號</t>
  </si>
  <si>
    <t>已交</t>
  </si>
  <si>
    <t>交期</t>
  </si>
  <si>
    <t>供應商</t>
  </si>
  <si>
    <t>已購/未購</t>
  </si>
  <si>
    <t>預計到貨資訊</t>
  </si>
  <si>
    <t>PO</t>
  </si>
  <si>
    <t>料號名稱</t>
  </si>
  <si>
    <t>規格型號</t>
  </si>
  <si>
    <t>單位</t>
  </si>
  <si>
    <t>數量</t>
  </si>
  <si>
    <t>坤鼎
報價</t>
  </si>
  <si>
    <t>單價</t>
  </si>
  <si>
    <t>合計</t>
  </si>
  <si>
    <t>用途</t>
  </si>
  <si>
    <t>專案</t>
  </si>
  <si>
    <t>備註</t>
  </si>
  <si>
    <t>需求單位/收貨人</t>
  </si>
  <si>
    <t>v</t>
  </si>
  <si>
    <t>四維</t>
  </si>
  <si>
    <t>美紋膠帶(四維紙膠帶)</t>
  </si>
  <si>
    <t>180度,12MM,米黃色</t>
  </si>
  <si>
    <t>捲</t>
  </si>
  <si>
    <t>AS3產線用</t>
  </si>
  <si>
    <t>0106 AS3專案</t>
  </si>
  <si>
    <t>產線/品妍</t>
  </si>
  <si>
    <t>大陸</t>
  </si>
  <si>
    <t>腳踏墊</t>
  </si>
  <si>
    <t>/JR-818 60x90cm (1盒/10本)</t>
  </si>
  <si>
    <t>本</t>
  </si>
  <si>
    <t>2026/3/11-55
2026/3/17-450</t>
  </si>
  <si>
    <t>起子頭</t>
  </si>
  <si>
    <t>T6X80</t>
  </si>
  <si>
    <t>個</t>
  </si>
  <si>
    <t>2026/3/16-6
2026/3/17-48
2026/3/20-6</t>
  </si>
  <si>
    <t>2026/3/16 海運</t>
  </si>
  <si>
    <t>H6靜電零件盒</t>
  </si>
  <si>
    <t>黑 外尺寸450*300*170mm</t>
  </si>
  <si>
    <t>KSS</t>
  </si>
  <si>
    <t>結束帶</t>
  </si>
  <si>
    <t>KS-8 捲式</t>
  </si>
  <si>
    <t>包</t>
  </si>
  <si>
    <t>AS3產線用，
估到7K需400(庫存:207)</t>
  </si>
  <si>
    <t>勇元</t>
  </si>
  <si>
    <t>手動油壓板車</t>
  </si>
  <si>
    <t>台</t>
  </si>
  <si>
    <t>電鍍四層架帶輪子</t>
  </si>
  <si>
    <t>180cmX45cmX180cm四層</t>
  </si>
  <si>
    <t>鍍鉻三層手推車</t>
  </si>
  <si>
    <t>907mm*533mm*1040mm三層</t>
  </si>
  <si>
    <t>豐萃國際</t>
  </si>
  <si>
    <t>折疊式手推車</t>
  </si>
  <si>
    <t>長810 x 寬485 x 高945 mm</t>
  </si>
  <si>
    <t>未到
24</t>
  </si>
  <si>
    <r>
      <rPr>
        <sz val="12"/>
        <rFont val="微軟正黑體"/>
        <family val="2"/>
        <charset val="136"/>
      </rPr>
      <t xml:space="preserve">2026/4/15-1
</t>
    </r>
    <r>
      <rPr>
        <b/>
        <sz val="12"/>
        <color rgb="FFFF0000"/>
        <rFont val="微軟正黑體"/>
        <family val="2"/>
        <charset val="136"/>
      </rPr>
      <t>換等價品項</t>
    </r>
  </si>
  <si>
    <t>2026/4/15 
(樣品*1)</t>
  </si>
  <si>
    <t>3M 468MP</t>
  </si>
  <si>
    <t>寬度：2英吋（50.8mm）</t>
  </si>
  <si>
    <t>2026/3/11-10
2026/3/17-125</t>
  </si>
  <si>
    <t>T10X80</t>
  </si>
  <si>
    <t>台灣固品</t>
  </si>
  <si>
    <t>錫絲0.38(無鉛)</t>
  </si>
  <si>
    <t>靜電料盤</t>
  </si>
  <si>
    <t>黑 外尺寸530*365*43mm</t>
  </si>
  <si>
    <t>T6X60</t>
  </si>
  <si>
    <t>支</t>
  </si>
  <si>
    <t>T10X60</t>
  </si>
  <si>
    <t>H3靜電零件盒</t>
  </si>
  <si>
    <t>黑 外尺寸180*121*79mm</t>
  </si>
  <si>
    <t>鉑匯生活
(樂天)</t>
  </si>
  <si>
    <t>消防沙桶</t>
  </si>
  <si>
    <t>有沙，鐵桶</t>
  </si>
  <si>
    <t>防高溫手套</t>
  </si>
  <si>
    <t>2026/3/11-5
2026/3/16-20</t>
  </si>
  <si>
    <t>插頭轉接頭</t>
  </si>
  <si>
    <t>歐規</t>
  </si>
  <si>
    <t>L型膠帶</t>
  </si>
  <si>
    <t>長*3cm 寬*3cm 柄寬1cm 綠色</t>
  </si>
  <si>
    <t>已到未交
3/13找到貨</t>
  </si>
  <si>
    <t>治具壓棒</t>
  </si>
  <si>
    <t>平頭 白色  80/90/100/110各2</t>
  </si>
  <si>
    <t>L型靜電鑷子</t>
  </si>
  <si>
    <t>鐵，靜電，黑色</t>
  </si>
  <si>
    <t>細尖型靜電鑷子</t>
  </si>
  <si>
    <t>白色PP手机撬棒</t>
  </si>
  <si>
    <t>M4內六角</t>
  </si>
  <si>
    <t>加厚棉手套</t>
  </si>
  <si>
    <t>XL號/12入</t>
  </si>
  <si>
    <t>長扁頭無塵擦拭棒</t>
  </si>
  <si>
    <t>(1包100支)</t>
  </si>
  <si>
    <t>防高溫夾子</t>
  </si>
  <si>
    <t>2026/3/2-15
2026/5/8-1</t>
  </si>
  <si>
    <t>嶸杰</t>
  </si>
  <si>
    <t>4月底</t>
  </si>
  <si>
    <t>4370069742-5</t>
  </si>
  <si>
    <t>高功率溫控烙鐵</t>
  </si>
  <si>
    <t>FX838-02/110V 附T20-D6</t>
  </si>
  <si>
    <t>JP1產線使用 
龍華廠無設備(附件第四頁)</t>
  </si>
  <si>
    <t>0115 JP1專案</t>
  </si>
  <si>
    <t>PO4370069742數量開5</t>
  </si>
  <si>
    <t>電動起子</t>
  </si>
  <si>
    <t>/WP-BS056(Φ4)+HRA-60(100-240V) ESD_1000rpm</t>
  </si>
  <si>
    <t>JP1產線使用</t>
  </si>
  <si>
    <t>等H頭線材</t>
  </si>
  <si>
    <t>2026/3/18-1
2026/4/9-99
2026/4/10-100</t>
  </si>
  <si>
    <t>彈吊</t>
  </si>
  <si>
    <t xml:space="preserve">熱風槍 </t>
  </si>
  <si>
    <t>FV310-01  110V</t>
  </si>
  <si>
    <t>2026/3/3-2</t>
  </si>
  <si>
    <t>釭泊科技
(阿元)</t>
  </si>
  <si>
    <r>
      <rPr>
        <sz val="12"/>
        <color rgb="FF000000"/>
        <rFont val="微軟正黑體"/>
        <family val="2"/>
        <charset val="136"/>
      </rPr>
      <t xml:space="preserve">點膠機 / </t>
    </r>
    <r>
      <rPr>
        <sz val="12"/>
        <color rgb="FFFF0000"/>
        <rFont val="微軟正黑體"/>
        <family val="2"/>
        <charset val="136"/>
      </rPr>
      <t>8000D+1:1卡式膠桶</t>
    </r>
  </si>
  <si>
    <t>藍</t>
  </si>
  <si>
    <t>靜電衣服</t>
  </si>
  <si>
    <t>L*17，XL*90，2XL*90，
3XL*53，4XL*50，</t>
  </si>
  <si>
    <t>件</t>
  </si>
  <si>
    <t>創傑</t>
  </si>
  <si>
    <t>靜電拖鞋</t>
  </si>
  <si>
    <t>39*90，40*90，
42*90，43*30</t>
  </si>
  <si>
    <t>雙</t>
  </si>
  <si>
    <t>太千五金</t>
  </si>
  <si>
    <t>3/17.3/18 
送國際路</t>
  </si>
  <si>
    <t>吸塵器</t>
  </si>
  <si>
    <t>JS3016</t>
  </si>
  <si>
    <t>/WP-BS056(Φ4)+HRA-60(100-240V) ESD_200rpm</t>
  </si>
  <si>
    <t>錫絲1.0(無鉛)</t>
  </si>
  <si>
    <t>烙鐵排煙過濾棉</t>
  </si>
  <si>
    <t>A1572(10片/包) / FA430</t>
  </si>
  <si>
    <t>片</t>
  </si>
  <si>
    <t>JP1產線使用
1天1片15台</t>
  </si>
  <si>
    <t>90度垂直彎頭電動起子</t>
  </si>
  <si>
    <t>烙鐵頭</t>
  </si>
  <si>
    <t>廠牌HAKO/T33-D6</t>
  </si>
  <si>
    <t>1.5B
2P</t>
  </si>
  <si>
    <t>溫度測試器</t>
  </si>
  <si>
    <t>FG-101B-01</t>
  </si>
  <si>
    <t>扭力板手</t>
  </si>
  <si>
    <t>150QL-MH</t>
  </si>
  <si>
    <t>熱風槍</t>
  </si>
  <si>
    <t>螺絲盤 / 3600</t>
  </si>
  <si>
    <t>螺絲盤 / 3800</t>
  </si>
  <si>
    <t>3M</t>
  </si>
  <si>
    <t>3M耳塞</t>
  </si>
  <si>
    <t>組</t>
  </si>
  <si>
    <t>豐在</t>
  </si>
  <si>
    <t>封箱膠帶</t>
  </si>
  <si>
    <t>120入</t>
  </si>
  <si>
    <t>箱</t>
  </si>
  <si>
    <t>2026/3/2-92
2026/3/4-88</t>
  </si>
  <si>
    <t>靜電帽</t>
  </si>
  <si>
    <t>女帽</t>
  </si>
  <si>
    <t>頂</t>
  </si>
  <si>
    <t>巧巧實業</t>
  </si>
  <si>
    <t>一開4插(3孔)延長線</t>
  </si>
  <si>
    <t>要能110V跟220V共用
CH-314型號</t>
  </si>
  <si>
    <t>條</t>
  </si>
  <si>
    <t>未到</t>
  </si>
  <si>
    <t>換等價品項</t>
  </si>
  <si>
    <t>靜電鞋測試器 / FG465-07</t>
  </si>
  <si>
    <t>支架 / C5032  (FG460)</t>
  </si>
  <si>
    <t>固定架 / B5263</t>
  </si>
  <si>
    <t>RYANZ 工業級強力降
噪音防噪防護隔音耳罩</t>
  </si>
  <si>
    <t>(降噪值29分貝)</t>
  </si>
  <si>
    <t>JP1產線使用(5個備品)</t>
  </si>
  <si>
    <t>耀元健生坊</t>
  </si>
  <si>
    <t>N95立體型醫用口罩-白</t>
  </si>
  <si>
    <t>20入/盒</t>
  </si>
  <si>
    <t>盒</t>
  </si>
  <si>
    <t>JPI打磨使用</t>
  </si>
  <si>
    <t>KILEWS扭力測試儀</t>
  </si>
  <si>
    <t>KTM-15</t>
  </si>
  <si>
    <t>M2,PH0,60mm</t>
  </si>
  <si>
    <t>JP1產線使用，for~ 20k</t>
  </si>
  <si>
    <t>M3,PH2,80mm</t>
  </si>
  <si>
    <t>混合膠槍大小孔</t>
  </si>
  <si>
    <t>M50-11/12</t>
  </si>
  <si>
    <t>馬達校正器</t>
  </si>
  <si>
    <t>扎帶(黑)</t>
  </si>
  <si>
    <t>5*250mm ,PP,耐酸鹼,250條/包</t>
  </si>
  <si>
    <t>USB 2.0 A公對A母鍍鎳成型款
(圓線/黑色 /1M)</t>
  </si>
  <si>
    <t>檯燈</t>
  </si>
  <si>
    <t>白</t>
  </si>
  <si>
    <t>2026/3/17-1
2026/3/23-17</t>
  </si>
  <si>
    <t>3/17已到 待確認</t>
  </si>
  <si>
    <t>Nut M6,六角套筒</t>
  </si>
  <si>
    <t>10mm,60mm</t>
  </si>
  <si>
    <t>2026/4/1 or 4/2</t>
  </si>
  <si>
    <t>扭力器治具</t>
  </si>
  <si>
    <t>OW-10</t>
  </si>
  <si>
    <r>
      <rPr>
        <sz val="12"/>
        <color theme="1"/>
        <rFont val="微軟正黑體"/>
        <family val="2"/>
        <charset val="136"/>
      </rPr>
      <t xml:space="preserve">3/17已到 待確認
</t>
    </r>
    <r>
      <rPr>
        <sz val="12"/>
        <color rgb="FFFF0000"/>
        <rFont val="微軟正黑體"/>
        <family val="2"/>
        <charset val="136"/>
      </rPr>
      <t>2026/4/1 or 4/2</t>
    </r>
  </si>
  <si>
    <t>M4,六角套筒</t>
  </si>
  <si>
    <t>4mm,100mm</t>
  </si>
  <si>
    <t>M6,手動</t>
  </si>
  <si>
    <t>UV燈</t>
  </si>
  <si>
    <r>
      <rPr>
        <sz val="12"/>
        <color rgb="FF000000"/>
        <rFont val="微軟正黑體"/>
        <family val="2"/>
        <charset val="136"/>
      </rPr>
      <t xml:space="preserve">365紫光 </t>
    </r>
    <r>
      <rPr>
        <sz val="12"/>
        <color rgb="FFFF0000"/>
        <rFont val="微軟正黑體"/>
        <family val="2"/>
        <charset val="136"/>
      </rPr>
      <t>(充電式 附充電線)</t>
    </r>
  </si>
  <si>
    <t>2026/3/23-10
2026/3/30-10</t>
  </si>
  <si>
    <t xml:space="preserve">無塵布 </t>
  </si>
  <si>
    <t>TUF208B 9"(150片)大</t>
  </si>
  <si>
    <t>2026/3/13-8
2026/3/17-2</t>
  </si>
  <si>
    <t>砂布套組</t>
  </si>
  <si>
    <t>AC/DC ADAPTER
( 豆腐頭)</t>
  </si>
  <si>
    <t>100~240V~0.25A MAX
OUTPOT:5V</t>
  </si>
  <si>
    <t>顆</t>
  </si>
  <si>
    <t>剝線鉗</t>
  </si>
  <si>
    <t>菜瓜布</t>
  </si>
  <si>
    <t>全綠色</t>
  </si>
  <si>
    <t>M3,PH2,120mm</t>
  </si>
  <si>
    <t>磁環</t>
  </si>
  <si>
    <t>HAKKO 錫絲架</t>
  </si>
  <si>
    <t>611-1</t>
  </si>
  <si>
    <t>2026/2/27
2026/3/17-2蓋</t>
  </si>
  <si>
    <t>2026/3/18-2
2026/3/26-2</t>
  </si>
  <si>
    <t>潔嘴器</t>
  </si>
  <si>
    <t>1０入</t>
  </si>
  <si>
    <t>好物+1團購
(蝦皮)</t>
  </si>
  <si>
    <t>75%酒精</t>
  </si>
  <si>
    <t>瓶</t>
  </si>
  <si>
    <t>3009-9" (100片)小</t>
  </si>
  <si>
    <t>點膠機 / 8000D耗材</t>
  </si>
  <si>
    <t>點膠零件/針筒組30cc 含活塞</t>
  </si>
  <si>
    <t>2026/3/17-1
2026/3/26-5</t>
  </si>
  <si>
    <t>Nut M3,六角套筒</t>
  </si>
  <si>
    <t>4mm,60mm</t>
  </si>
  <si>
    <t>連身防靜電無塵服</t>
  </si>
  <si>
    <t>XL*2，2XL*2，3XL*2</t>
  </si>
  <si>
    <t>熱縮套管</t>
  </si>
  <si>
    <t>9mm</t>
  </si>
  <si>
    <t>米</t>
  </si>
  <si>
    <t>尖嘴鉗</t>
  </si>
  <si>
    <t>鯉魚鉗</t>
  </si>
  <si>
    <t>JP2產線使用</t>
  </si>
  <si>
    <t>活動板手</t>
  </si>
  <si>
    <t>JP3產線使用</t>
  </si>
  <si>
    <t>點膠零件/針頭20G粉紅色1.25”DT041048 塑腿罐錐形</t>
  </si>
  <si>
    <t>點膠零件/針頭14G 橄欖色1.25" DT041045塑誰形</t>
  </si>
  <si>
    <t>點膠零件/針筒套頭30/55CCCC(EM030)</t>
  </si>
  <si>
    <t>長筒防靜電無塵鞋</t>
  </si>
  <si>
    <t>41*1，42*2，43*1，44*1</t>
  </si>
  <si>
    <t>M3,PH1,80mm</t>
  </si>
  <si>
    <t>2026/3/30-1
2026/4/2-1</t>
  </si>
  <si>
    <t>大陸
桃園水電</t>
  </si>
  <si>
    <t>套筒板手</t>
  </si>
  <si>
    <t>M2,PH1,60mm</t>
  </si>
  <si>
    <t>鑽頭</t>
  </si>
  <si>
    <r>
      <rPr>
        <sz val="12"/>
        <color rgb="FF000000"/>
        <rFont val="微軟正黑體"/>
        <family val="2"/>
        <charset val="136"/>
      </rPr>
      <t>鑽頭</t>
    </r>
    <r>
      <rPr>
        <sz val="12"/>
        <color rgb="FFFF0000"/>
        <rFont val="微軟正黑體"/>
        <family val="2"/>
        <charset val="136"/>
      </rPr>
      <t>2.2mm</t>
    </r>
    <r>
      <rPr>
        <sz val="12"/>
        <color rgb="FF000000"/>
        <rFont val="微軟正黑體"/>
        <family val="2"/>
        <charset val="136"/>
      </rPr>
      <t xml:space="preserve">  </t>
    </r>
  </si>
  <si>
    <r>
      <rPr>
        <sz val="12"/>
        <color rgb="FF000000"/>
        <rFont val="微軟正黑體"/>
        <family val="2"/>
        <charset val="136"/>
      </rPr>
      <t xml:space="preserve">鑽頭 </t>
    </r>
    <r>
      <rPr>
        <sz val="12"/>
        <color rgb="FFFF0000"/>
        <rFont val="微軟正黑體"/>
        <family val="2"/>
        <charset val="136"/>
      </rPr>
      <t>2.5mm</t>
    </r>
  </si>
  <si>
    <t>M2,PH2,60mm</t>
  </si>
  <si>
    <t>絕緣膠帶</t>
  </si>
  <si>
    <t>0.19mm*18mm*10y (綠色)</t>
  </si>
  <si>
    <t>M4,60mm</t>
  </si>
  <si>
    <t>M3,PH0,80mm</t>
  </si>
  <si>
    <t>拋棄式無塵帽</t>
  </si>
  <si>
    <t>100入</t>
  </si>
  <si>
    <t>熱熔膠槍</t>
  </si>
  <si>
    <t>熱熔膠</t>
  </si>
  <si>
    <t>7.5mm</t>
  </si>
  <si>
    <t>KEYWAY聯府</t>
  </si>
  <si>
    <t>二階登高梯椅(加高款)</t>
  </si>
  <si>
    <t>JP2保壓站產線使用  1/29新增</t>
  </si>
  <si>
    <t>2026/3/3-3</t>
  </si>
  <si>
    <r>
      <rPr>
        <sz val="12"/>
        <color rgb="FF000000"/>
        <rFont val="微軟正黑體"/>
        <family val="2"/>
        <charset val="136"/>
      </rPr>
      <t xml:space="preserve">點膠機 / </t>
    </r>
    <r>
      <rPr>
        <sz val="12"/>
        <color rgb="FFFF0000"/>
        <rFont val="微軟正黑體"/>
        <family val="2"/>
        <charset val="136"/>
      </rPr>
      <t>8000D+2:1卡式膠桶</t>
    </r>
  </si>
  <si>
    <t>震動起子</t>
  </si>
  <si>
    <t>M18 FUEL™ 鋰電無碳刷衝擊起子機</t>
  </si>
  <si>
    <t>天鋼</t>
  </si>
  <si>
    <t>置物櫃</t>
  </si>
  <si>
    <t>型號:FBB-312</t>
  </si>
  <si>
    <t>座</t>
  </si>
  <si>
    <t>AS3產線用，For300位</t>
  </si>
  <si>
    <t>0121 AS3
(120K)專案</t>
  </si>
  <si>
    <t>AS3產線用，for uph 100</t>
  </si>
  <si>
    <t>FX838</t>
  </si>
  <si>
    <t>點膠機</t>
  </si>
  <si>
    <t>黑RT-100 110V</t>
  </si>
  <si>
    <t>AS3產線用，for uph 100
(樹梅派*1，馬達*2，碳棒*2)</t>
  </si>
  <si>
    <t xml:space="preserve"> /WP-BS056(Φ4)+HRA-60(100-240V) ESD_200rpm</t>
  </si>
  <si>
    <t>XL*50，2XL*100，
3XL*77，4XL*60，5XL*13</t>
  </si>
  <si>
    <t>25*80，26*80，
42*90，43*30，44*20</t>
  </si>
  <si>
    <t>120入/箱</t>
  </si>
  <si>
    <t>AS3產線用，for12k
(1捲/6個BOX(12台無人機)
估以12K的產量/約1000捲</t>
  </si>
  <si>
    <t>AS3產線用，for12K需1捲/350台</t>
  </si>
  <si>
    <t xml:space="preserve">熱風槍支架 </t>
  </si>
  <si>
    <t>B5166 (FV-310)</t>
  </si>
  <si>
    <t>正和科技</t>
  </si>
  <si>
    <t>WIFI USB</t>
  </si>
  <si>
    <t>吸煙系統 / FA-430</t>
  </si>
  <si>
    <t>0123 AS3
(120K)專案</t>
  </si>
  <si>
    <t>吸煙膠管 / C1572附</t>
  </si>
  <si>
    <t>碳帶</t>
  </si>
  <si>
    <t>W110mm*L300m</t>
  </si>
  <si>
    <t>AS3產線包裝用，for uph 100</t>
  </si>
  <si>
    <t>o</t>
  </si>
  <si>
    <t>百電已交</t>
  </si>
  <si>
    <t>x</t>
  </si>
  <si>
    <t>FX805</t>
  </si>
  <si>
    <t>0126 AS3
(120K)專案</t>
  </si>
  <si>
    <t>AS3產線用，for12k(1捲/6個BOX
(12台無人機)估以12K的產量/約1000捲</t>
  </si>
  <si>
    <t>女靜電帽</t>
  </si>
  <si>
    <t>0128 AS3
(120K)專案</t>
  </si>
  <si>
    <t>JP1產線用</t>
  </si>
  <si>
    <t>0128 JP1專案</t>
  </si>
  <si>
    <t>AS4產線用(備用機)</t>
  </si>
  <si>
    <t>0128 AS4專案</t>
  </si>
  <si>
    <t>3M防靜電防滑手套</t>
  </si>
  <si>
    <t>M*30、L*20</t>
  </si>
  <si>
    <t>0202 AS3
(120K)專案</t>
  </si>
  <si>
    <t>延長線</t>
  </si>
  <si>
    <t>1.8米，要110跟220共用</t>
  </si>
  <si>
    <t>2.7米，要110跟220共用</t>
  </si>
  <si>
    <t>靴靴五金
(蝦皮)</t>
  </si>
  <si>
    <t>14mm的套筒</t>
  </si>
  <si>
    <t>電動起子用，尺寸是4mm</t>
  </si>
  <si>
    <t>親淨科技
(蝦皮)</t>
  </si>
  <si>
    <t>8mm板手</t>
  </si>
  <si>
    <t>翔新09
(蝦皮)</t>
  </si>
  <si>
    <t>摺疊桌</t>
  </si>
  <si>
    <t>60*60*75高</t>
  </si>
  <si>
    <t>張</t>
  </si>
  <si>
    <t>靜電帽子</t>
  </si>
  <si>
    <t>要台灣固品品牌</t>
  </si>
  <si>
    <t>AS3產線用，補單0205緊急進貨</t>
  </si>
  <si>
    <t>0205 AS3
(120K)專案 補單</t>
  </si>
  <si>
    <t>捷-20260417010-坤鼎 (1)</t>
  </si>
  <si>
    <t>HAKO T20-B2</t>
  </si>
  <si>
    <t>0206 AS3
(120K)專案</t>
  </si>
  <si>
    <t>廠牌HAKKO/T33-D6</t>
  </si>
  <si>
    <t xml:space="preserve">烙鐵清潔海綿黃色 </t>
  </si>
  <si>
    <t>A1519</t>
  </si>
  <si>
    <t>XL*100，3XL*50，
4XL*50，5XL*40</t>
  </si>
  <si>
    <t>38*50，39*80，40*80，
42*80</t>
  </si>
  <si>
    <t>AS3產線用，4捲1800PCB</t>
  </si>
  <si>
    <t>杜邦線</t>
  </si>
  <si>
    <t>30CM</t>
  </si>
  <si>
    <t>口罩</t>
  </si>
  <si>
    <t>活性碳50入/盒</t>
  </si>
  <si>
    <t>2026/3/13-18
2026/3/16-2</t>
  </si>
  <si>
    <t>網購</t>
  </si>
  <si>
    <t>3/9.3/10到貨2支
7-11領航門市</t>
  </si>
  <si>
    <t>舍樂力不銹鋼塑膠斜口鉗-
6 1/2英吋</t>
  </si>
  <si>
    <t>88-567</t>
  </si>
  <si>
    <t>2026/3/24-25
2026/3/31-5</t>
  </si>
  <si>
    <t>BM2專案用</t>
  </si>
  <si>
    <t>0209 BM2專案</t>
  </si>
  <si>
    <t>2026/3/3-7
2026/3/4-1</t>
  </si>
  <si>
    <t>FX805/
烙鐵頭配廠牌HAKKO/T33-D6</t>
  </si>
  <si>
    <t>2026/3/3
2026/3/13-氣動閥*2</t>
  </si>
  <si>
    <t>點膠機 / 8000D+1:1卡式膠桶</t>
  </si>
  <si>
    <t>M2,PH00,60mm</t>
  </si>
  <si>
    <t>2026/3/17-1
2026/3/18-9</t>
  </si>
  <si>
    <t>Nut M5,六角套筒</t>
  </si>
  <si>
    <t>8mm,60mm</t>
  </si>
  <si>
    <t>2026/3/26-1
2026/3/30-3</t>
  </si>
  <si>
    <t>PO數量開60</t>
  </si>
  <si>
    <t>點膠零件/針頭14G 橄欖色1.25"DT041045塑誰形</t>
  </si>
  <si>
    <t>點膠零件/針筒套頭
30/55CCCC(EM030)</t>
  </si>
  <si>
    <t>M2,PH00,100mm</t>
  </si>
  <si>
    <t>M2.5,PH1,80mm</t>
  </si>
  <si>
    <t>M1.2,PH00,100mm</t>
  </si>
  <si>
    <t>2026/3/26出貨
約2-3天送達青埔</t>
  </si>
  <si>
    <t>捷-20260417008-坤鼎 (1)</t>
  </si>
  <si>
    <t xml:space="preserve">AS4生產用            </t>
  </si>
  <si>
    <t xml:space="preserve">0320 AS4專案  </t>
  </si>
  <si>
    <t>產線/宜芬</t>
  </si>
  <si>
    <t>AS4生產用</t>
  </si>
  <si>
    <t>點膠零件/14G
不繡鋼平口針頭13mm</t>
  </si>
  <si>
    <t>2026/3/24-40
2026/3/31-40</t>
  </si>
  <si>
    <t xml:space="preserve">AS3生產用            </t>
  </si>
  <si>
    <t xml:space="preserve">0320 AS3專案 </t>
  </si>
  <si>
    <t>AS3生產用</t>
  </si>
  <si>
    <t>點膠零件/針頭14G 橄欖色
1.25"  DT041045塑膠錐形</t>
  </si>
  <si>
    <t>蝦皮</t>
  </si>
  <si>
    <t>捷-20260417011-坤鼎 (1)</t>
  </si>
  <si>
    <t>矽利康</t>
  </si>
  <si>
    <t>NEUTRAL(N192)</t>
  </si>
  <si>
    <t xml:space="preserve">JP1 生產用            </t>
  </si>
  <si>
    <t>0320 JP1專案</t>
  </si>
  <si>
    <t>蝦皮-宇慶</t>
  </si>
  <si>
    <t>矽利康槍</t>
  </si>
  <si>
    <t>JP1 生產用</t>
  </si>
  <si>
    <t>1.5B  2P</t>
  </si>
  <si>
    <t>酒精按壓瓶(藍)</t>
  </si>
  <si>
    <t>200ml</t>
  </si>
  <si>
    <t>JP1產線用，1捲用量450PCB</t>
  </si>
  <si>
    <t>0225 JP1專案</t>
  </si>
  <si>
    <t>寄庫</t>
  </si>
  <si>
    <t>JP1產線用，for3k(1捲/3個BOX(6台無人機) 估以3K的產量/約500捲</t>
  </si>
  <si>
    <t>新竹物流3357767766</t>
  </si>
  <si>
    <t>精聯</t>
  </si>
  <si>
    <t>AS3產線用，1捲用量450PCB</t>
  </si>
  <si>
    <t>0225 AS3專案</t>
  </si>
  <si>
    <t>AS3產線用，for18k(1捲/6個BOX(12台無人機)
估以18K的產量/約1500捲</t>
  </si>
  <si>
    <t>150QL</t>
  </si>
  <si>
    <t>捷-20260424009-坤鼎 (1)</t>
  </si>
  <si>
    <t>AS4產線用</t>
  </si>
  <si>
    <t>0227 AS4專案</t>
  </si>
  <si>
    <t>蝴蝶起子頭</t>
  </si>
  <si>
    <t>Torx 6*60mm</t>
  </si>
  <si>
    <t>Torx 6*80mm</t>
  </si>
  <si>
    <t>Torx 10*80mm</t>
  </si>
  <si>
    <t>扭力扳手六角套筒</t>
  </si>
  <si>
    <t>M8 nut 13mm</t>
  </si>
  <si>
    <t>庫存3</t>
  </si>
  <si>
    <t>M8 nut 14mm</t>
  </si>
  <si>
    <t>Torx 8*60mm</t>
  </si>
  <si>
    <t>Torx 8*80mm</t>
  </si>
  <si>
    <t>Torx 10*60mm</t>
  </si>
  <si>
    <t>台灣</t>
  </si>
  <si>
    <t>直徑7.4mm</t>
  </si>
  <si>
    <t>HEX 1.5mm*80mm</t>
  </si>
  <si>
    <t>HEX 2.5mm*80mm</t>
  </si>
  <si>
    <t>Torx 5*60mm</t>
  </si>
  <si>
    <t>庫存20條</t>
  </si>
  <si>
    <t>PO開熱熔膠槍</t>
  </si>
  <si>
    <t>2026/4/2-283
2026/4/14-117</t>
  </si>
  <si>
    <r>
      <rPr>
        <sz val="8"/>
        <rFont val="微軟正黑體"/>
        <family val="2"/>
        <charset val="136"/>
      </rPr>
      <t>庫存</t>
    </r>
    <r>
      <rPr>
        <sz val="8"/>
        <color rgb="FFFF0000"/>
        <rFont val="微軟正黑體"/>
        <family val="2"/>
        <charset val="136"/>
      </rPr>
      <t xml:space="preserve"> XL*80</t>
    </r>
    <r>
      <rPr>
        <sz val="8"/>
        <rFont val="微軟正黑體"/>
        <family val="2"/>
        <charset val="136"/>
      </rPr>
      <t>，2XL*230，3XL*61，4XL*59，</t>
    </r>
    <r>
      <rPr>
        <sz val="8"/>
        <color rgb="FFFF0000"/>
        <rFont val="微軟正黑體"/>
        <family val="2"/>
        <charset val="136"/>
      </rPr>
      <t>5XL*23</t>
    </r>
  </si>
  <si>
    <t>XL*170，3XL*50，2XL*80
4XL*50，5XL*50</t>
  </si>
  <si>
    <t>BM2專案用，
IE預估人力日夜合計:400人</t>
  </si>
  <si>
    <t>0302 BM2專案</t>
  </si>
  <si>
    <t>2026/4/16-170
2026/4/20-230</t>
  </si>
  <si>
    <t>創杰</t>
  </si>
  <si>
    <t>2026/4/17前</t>
  </si>
  <si>
    <t>39*125，40*125
42*100，43*50</t>
  </si>
  <si>
    <t>庫存711</t>
  </si>
  <si>
    <t>BM2專案用，AS3*5，JP1*2 目前合計:7台手動
for包裝跟物料會不夠使用</t>
  </si>
  <si>
    <t>BM2專案用 MP階段需求</t>
  </si>
  <si>
    <t>產線/IE敏修</t>
  </si>
  <si>
    <t>點膠機 / 8000D</t>
  </si>
  <si>
    <t>藍1:1</t>
  </si>
  <si>
    <t>未到6</t>
  </si>
  <si>
    <t>2026/5/8-2</t>
  </si>
  <si>
    <r>
      <rPr>
        <sz val="12"/>
        <rFont val="微軟正黑體"/>
        <family val="2"/>
        <charset val="136"/>
      </rPr>
      <t xml:space="preserve">4月底交2台
</t>
    </r>
    <r>
      <rPr>
        <sz val="12"/>
        <color rgb="FFFF0000"/>
        <rFont val="微軟正黑體"/>
        <family val="2"/>
        <charset val="136"/>
      </rPr>
      <t>6/20交6台</t>
    </r>
  </si>
  <si>
    <t>船班延誤 6/20左右到貨</t>
  </si>
  <si>
    <t>2026/4/7-1包
2026/4/21-384個
2026/4/24-6個</t>
  </si>
  <si>
    <t>蝦皮-星鎧思</t>
  </si>
  <si>
    <t>2026/4/2-10
2026/4/22-390</t>
  </si>
  <si>
    <t>１０入</t>
  </si>
  <si>
    <t>WOKEN</t>
  </si>
  <si>
    <t xml:space="preserve">雙邊小扳手 </t>
  </si>
  <si>
    <t>適用IPEX1 &amp; IPEX4</t>
  </si>
  <si>
    <t>2026/4/1-5
2026/4/2-5</t>
  </si>
  <si>
    <t>桃園水電</t>
  </si>
  <si>
    <t>只</t>
  </si>
  <si>
    <t>庫存10</t>
  </si>
  <si>
    <t>HEX 4mm*100mm</t>
  </si>
  <si>
    <t>0310 AS4專案</t>
  </si>
  <si>
    <t>HEX 3mm*80mm</t>
  </si>
  <si>
    <t>0313 JP1專案</t>
  </si>
  <si>
    <t>要能110V跟220V共用
CH-314型號巧巧實業</t>
  </si>
  <si>
    <t>60MM*300MM</t>
  </si>
  <si>
    <t>空白條碼紙(斑馬600印表機)</t>
  </si>
  <si>
    <t>35mm*10mm*100M 銅版紙</t>
  </si>
  <si>
    <t>JP1貼S/N用</t>
  </si>
  <si>
    <t>可營</t>
  </si>
  <si>
    <t>2026/4/22~24</t>
  </si>
  <si>
    <t>手套 / 手術手套 乳膠</t>
  </si>
  <si>
    <t>S (100只/盒)無粉</t>
  </si>
  <si>
    <t>M (100只/盒)無粉</t>
  </si>
  <si>
    <t>L(100只/盒)無粉</t>
  </si>
  <si>
    <t>XL (100只/盒)無粉</t>
  </si>
  <si>
    <t>台灣康匠</t>
  </si>
  <si>
    <t>庫存74盒</t>
  </si>
  <si>
    <t>活性碳口罩</t>
  </si>
  <si>
    <t>JP1烙鐵､S16點膠用</t>
  </si>
  <si>
    <t>4/27退</t>
  </si>
  <si>
    <t>2026/4/23前</t>
  </si>
  <si>
    <t>對講機</t>
  </si>
  <si>
    <t>寶鋒BF-888S</t>
  </si>
  <si>
    <t>取消PO，待確認</t>
  </si>
  <si>
    <t>點膠機-耗材細點膠管18T</t>
  </si>
  <si>
    <t>1捲200米</t>
  </si>
  <si>
    <t>下單305米*2捲</t>
  </si>
  <si>
    <t>鐵氟龍膠帶</t>
  </si>
  <si>
    <t>20mm*10m</t>
  </si>
  <si>
    <t>起子頭T6(六角)</t>
  </si>
  <si>
    <t>ZT610工業型標籤機</t>
  </si>
  <si>
    <t>ZT610 with 12 dots/mm (300 dpi) 300 dpi,U/S/E/BT</t>
  </si>
  <si>
    <t xml:space="preserve">4/28已到貨 </t>
  </si>
  <si>
    <t>點膠零件/針頭14G 橄欖色1.25"  DT041045塑誰形</t>
  </si>
  <si>
    <t>8月底</t>
  </si>
  <si>
    <t xml:space="preserve">溫度測試器 </t>
  </si>
  <si>
    <t>BM2專案</t>
  </si>
  <si>
    <t>2026/6/2-已交</t>
  </si>
  <si>
    <r>
      <rPr>
        <sz val="12"/>
        <rFont val="微軟正黑體"/>
        <family val="2"/>
        <charset val="136"/>
      </rPr>
      <t xml:space="preserve">2026/6/1-白
</t>
    </r>
    <r>
      <rPr>
        <sz val="12"/>
        <color rgb="FFFF0000"/>
        <rFont val="微軟正黑體"/>
        <family val="2"/>
        <charset val="136"/>
      </rPr>
      <t>2026/6/13-綠</t>
    </r>
  </si>
  <si>
    <r>
      <rPr>
        <sz val="12"/>
        <color theme="1"/>
        <rFont val="微軟正黑體"/>
        <family val="2"/>
        <charset val="136"/>
      </rPr>
      <t>PE板</t>
    </r>
    <r>
      <rPr>
        <sz val="12"/>
        <color rgb="FFFF0000"/>
        <rFont val="微軟正黑體"/>
        <family val="2"/>
        <charset val="136"/>
      </rPr>
      <t>(綠)</t>
    </r>
  </si>
  <si>
    <t>厚0.05cm 長11cm 寬7.3cm</t>
  </si>
  <si>
    <r>
      <rPr>
        <sz val="10"/>
        <color theme="1" tint="4.9989318521683403E-2"/>
        <rFont val="微軟正黑體"/>
        <family val="2"/>
        <charset val="136"/>
      </rPr>
      <t>0.844 RMB</t>
    </r>
    <r>
      <rPr>
        <sz val="12"/>
        <color theme="1" tint="4.9989318521683403E-2"/>
        <rFont val="微軟正黑體"/>
        <family val="2"/>
        <charset val="136"/>
      </rPr>
      <t xml:space="preserve">
含運稅</t>
    </r>
  </si>
  <si>
    <t>DPEX-000001498753</t>
  </si>
  <si>
    <t>成崑</t>
  </si>
  <si>
    <t>60x90cm (1盒/10本)</t>
  </si>
  <si>
    <t xml:space="preserve">5/8已到貨 </t>
  </si>
  <si>
    <t>庫存7</t>
  </si>
  <si>
    <t>5/12已到貨</t>
  </si>
  <si>
    <t xml:space="preserve">庫存1
2026/5/13
</t>
  </si>
  <si>
    <t>需重新購買</t>
  </si>
  <si>
    <t>5/11已到貨</t>
  </si>
  <si>
    <t>佳客來</t>
  </si>
  <si>
    <t>3-5days</t>
  </si>
  <si>
    <t>Octopus 薄嘴型 KT-05 電子斜口鉗125mm</t>
  </si>
  <si>
    <t xml:space="preserve"> KT-05</t>
  </si>
  <si>
    <t>靜電衣服(粉色)</t>
  </si>
  <si>
    <t>XL*13，2XL*10，3XL*13
4XL*10，5XL*4</t>
  </si>
  <si>
    <t>品保/戴辰育 Claire</t>
  </si>
  <si>
    <t>2026/5/22前</t>
  </si>
  <si>
    <t>38*7，39*10，40*13
42*10，44*10</t>
  </si>
  <si>
    <t>大榮 74345860402</t>
  </si>
  <si>
    <t>靜電帽子(粉色)</t>
  </si>
  <si>
    <t>不分</t>
  </si>
  <si>
    <t>907mm*533mm*1040規格把手</t>
  </si>
  <si>
    <t>0527得</t>
  </si>
  <si>
    <t>康泰PCC 印刷電路板清潔劑200ml附刷子</t>
  </si>
  <si>
    <t>罐</t>
  </si>
  <si>
    <t>急</t>
  </si>
  <si>
    <t>嘉鴻</t>
  </si>
  <si>
    <t>3周</t>
  </si>
  <si>
    <t>旋轉膠帶切割器</t>
  </si>
  <si>
    <t>RT3700韓國制110V/220V</t>
  </si>
  <si>
    <t>5990 含稅</t>
  </si>
  <si>
    <t>2026/6/2-100
2026/6/5-166</t>
  </si>
  <si>
    <t>恆城</t>
  </si>
  <si>
    <r>
      <rPr>
        <sz val="12"/>
        <rFont val="微軟正黑體"/>
        <family val="2"/>
        <charset val="136"/>
      </rPr>
      <t xml:space="preserve">分批
</t>
    </r>
    <r>
      <rPr>
        <sz val="11"/>
        <rFont val="微軟正黑體"/>
        <family val="2"/>
        <charset val="136"/>
      </rPr>
      <t>6/2-100、6/4-166</t>
    </r>
  </si>
  <si>
    <t xml:space="preserve">靜電環監視器 </t>
  </si>
  <si>
    <t>SURPA518-1</t>
  </si>
  <si>
    <t>170 未稅</t>
  </si>
  <si>
    <t>賦全</t>
  </si>
  <si>
    <t>袖圈</t>
  </si>
  <si>
    <t>新人作業*100、線長*50</t>
  </si>
  <si>
    <t>54.7未稅</t>
  </si>
  <si>
    <t>順豐 SF0216363062366</t>
  </si>
  <si>
    <t>ESD鐵鑷子</t>
  </si>
  <si>
    <t>直的圓頭</t>
  </si>
  <si>
    <t>PU塗指手套S</t>
  </si>
  <si>
    <t>PU塗指手套M</t>
  </si>
  <si>
    <t>PU塗指手套L</t>
  </si>
  <si>
    <t>增磁器</t>
  </si>
  <si>
    <t>五金行</t>
  </si>
  <si>
    <t>起子組(含十字起子、一字起子、握把)</t>
  </si>
  <si>
    <t>活動扳手</t>
  </si>
  <si>
    <t>8吋</t>
  </si>
  <si>
    <t>靜電物料盤</t>
  </si>
  <si>
    <t>56cm*37cm*80cm</t>
  </si>
  <si>
    <t>PCB補漆筆</t>
  </si>
  <si>
    <t>HL-10</t>
  </si>
  <si>
    <t xml:space="preserve">ESD鐵鑷子 </t>
  </si>
  <si>
    <t>直的尖頭</t>
  </si>
  <si>
    <t>台祖</t>
  </si>
  <si>
    <t xml:space="preserve">防靜電泡棉(硬) </t>
  </si>
  <si>
    <t>厚0.2cm 長40cm 寬30cm</t>
  </si>
  <si>
    <t>PE尼龍板(綠)</t>
  </si>
  <si>
    <t>厚0.1cm 長33.7cm 寬25cm</t>
  </si>
  <si>
    <t>5.86 RMB
含運稅</t>
  </si>
  <si>
    <t>厚0.1cm 長46cm 寬33.7cm</t>
  </si>
  <si>
    <t>9.93 RMB
含運稅</t>
  </si>
  <si>
    <t>硬膠套A4尺寸</t>
  </si>
  <si>
    <t>3.5 RMB 
含運</t>
  </si>
  <si>
    <t>順豐SF1573796125584</t>
  </si>
  <si>
    <t>硬膠套A3尺寸</t>
  </si>
  <si>
    <t>9.6 RMB 
含運</t>
  </si>
  <si>
    <t>坤鼎鑫業訂單總表-群邁倉庫</t>
  </si>
  <si>
    <t>提需求日</t>
  </si>
  <si>
    <t>需求單位/聯絡人</t>
  </si>
  <si>
    <t>2200*D750*H1800工作桌</t>
  </si>
  <si>
    <t>工作桌五面全封閉防塵結構改造
(可拆式模組)</t>
  </si>
  <si>
    <t>工作桌</t>
  </si>
  <si>
    <t>原訂單24台</t>
  </si>
  <si>
    <t>Stan</t>
  </si>
  <si>
    <t>2026/3/23-1</t>
  </si>
  <si>
    <t>保壓治具</t>
  </si>
  <si>
    <t>JP1右機翼</t>
  </si>
  <si>
    <t>PCS</t>
  </si>
  <si>
    <t>JP1左機翼</t>
  </si>
  <si>
    <t>主板孔定對位治具</t>
  </si>
  <si>
    <t>附備用定位銷*2</t>
  </si>
  <si>
    <t>興漢</t>
  </si>
  <si>
    <t>AS3 防水袋</t>
  </si>
  <si>
    <t>150*150cm  T0.08</t>
  </si>
  <si>
    <t>倉庫</t>
  </si>
  <si>
    <t>已交2000</t>
  </si>
  <si>
    <t>鐙澤</t>
  </si>
  <si>
    <t>AS3 棧板</t>
  </si>
  <si>
    <t>120*100*12.8 cm</t>
  </si>
  <si>
    <t>未交1000</t>
  </si>
  <si>
    <t>JP1 防水袋</t>
  </si>
  <si>
    <t>180*120cm  T0.08</t>
  </si>
  <si>
    <r>
      <rPr>
        <b/>
        <sz val="12"/>
        <color rgb="FFFF0000"/>
        <rFont val="微軟正黑體"/>
        <family val="2"/>
        <charset val="136"/>
      </rPr>
      <t>已交 550P</t>
    </r>
    <r>
      <rPr>
        <b/>
        <sz val="9"/>
        <color rgb="FFFF0000"/>
        <rFont val="微軟正黑體"/>
        <family val="2"/>
        <charset val="136"/>
      </rPr>
      <t xml:space="preserve">
庫存450(180+270)</t>
    </r>
  </si>
  <si>
    <t>JP1 棧板</t>
  </si>
  <si>
    <t>164*89*12.9 cm</t>
  </si>
  <si>
    <t>未交</t>
  </si>
  <si>
    <t>JP1 海運防水袋(底部)</t>
  </si>
  <si>
    <t>270*200cm</t>
  </si>
  <si>
    <t>JP1 海運防水袋(整個罩起來)</t>
  </si>
  <si>
    <t>240*170*240cm</t>
  </si>
  <si>
    <t>JP1 海運棧板</t>
  </si>
  <si>
    <t>223*164*14.8cm</t>
  </si>
  <si>
    <t>已交 2204</t>
  </si>
  <si>
    <t>電動拖板車電池</t>
  </si>
  <si>
    <t>EPT20(CBD20-WS)
48Vx15Ah</t>
  </si>
  <si>
    <t>倉庫/Andy</t>
  </si>
  <si>
    <t>1.5頓電動拖板車</t>
  </si>
  <si>
    <t>寬*1、窄*1</t>
  </si>
  <si>
    <t>EPT20(寬版)</t>
  </si>
  <si>
    <t>氣泡布機</t>
  </si>
  <si>
    <t>TE210桌上型條碼標籤機</t>
  </si>
  <si>
    <t>TE210,TT,203dpi,U/R/E,US</t>
  </si>
  <si>
    <t>手推車</t>
  </si>
  <si>
    <t>打包帶盤車</t>
  </si>
  <si>
    <t>2026/3/23-2
2026/4/1-3</t>
  </si>
  <si>
    <t>電動打包機</t>
  </si>
  <si>
    <t>ESD靜電拖鞋</t>
  </si>
  <si>
    <t>#40*20、#41*20、
#42*25、#43*25</t>
  </si>
  <si>
    <t>喬瑄</t>
  </si>
  <si>
    <t>MOMO</t>
  </si>
  <si>
    <t>20吋 左右擺頭工業風扇</t>
  </si>
  <si>
    <t>窄版電動拖板車 EPT/550</t>
  </si>
  <si>
    <t>寬版電動拖板車 EPT/680</t>
  </si>
  <si>
    <t>碳帶(1吋芯)</t>
  </si>
  <si>
    <t>11cm*300m</t>
  </si>
  <si>
    <t>標籤紙(1吋芯)</t>
  </si>
  <si>
    <t>50*50mm*600
945張/捲 品牌：EX610</t>
  </si>
  <si>
    <t>70*100mm
680張/捲 品牌：EX610</t>
  </si>
  <si>
    <t>未到1</t>
  </si>
  <si>
    <t>2026/3/10-1
2026/3/12-2
2026/3/16-2
2026/4/15-2</t>
  </si>
  <si>
    <t>ZT610 with 12 dots/mm (300dpi)</t>
  </si>
  <si>
    <t>3/10- ZT610 with 24 
dots/mm (600dpi)</t>
  </si>
  <si>
    <t>趙勤文</t>
  </si>
  <si>
    <t>手打膜</t>
  </si>
  <si>
    <t>0.02mm*50CM*185M</t>
  </si>
  <si>
    <t>倉庫/佳諭</t>
  </si>
  <si>
    <t>2026/4/22-4800片</t>
  </si>
  <si>
    <t>扣4370069745
訂單數</t>
  </si>
  <si>
    <t>堅睦/佳諭</t>
  </si>
  <si>
    <t>大原</t>
  </si>
  <si>
    <t>角紙</t>
  </si>
  <si>
    <t>50*50*5*1130mm</t>
  </si>
  <si>
    <t>50*50*5*710mm</t>
  </si>
  <si>
    <t>50*50*5*1200mm</t>
  </si>
  <si>
    <t>打包帶</t>
  </si>
  <si>
    <t>780M</t>
  </si>
  <si>
    <t>255M</t>
  </si>
  <si>
    <t>未到
4千</t>
  </si>
  <si>
    <t>2026/4/17-1千套
2026/4/24-2千套
2026/4/30-2千套</t>
  </si>
  <si>
    <t>2026/4/24-2千未到
2026/4/30-2千未到</t>
  </si>
  <si>
    <t>50*50*5*1580mm</t>
  </si>
  <si>
    <t>分批</t>
  </si>
  <si>
    <t>50*50*5*950mm</t>
  </si>
  <si>
    <t>50*50*5*750mm</t>
  </si>
  <si>
    <t>2026/4/22-30
2026/4/30-150
2026/5/14-50
2026/6/1-270</t>
  </si>
  <si>
    <t>興漢
東大
蝦皮</t>
  </si>
  <si>
    <t>2026/6/1-50+220</t>
  </si>
  <si>
    <t>10KG (780M)</t>
  </si>
  <si>
    <t>4/30東大*10捲、群益*140捲
6/1群益*220捲、興漢50</t>
  </si>
  <si>
    <t>0.5*255M 2.5KG</t>
  </si>
  <si>
    <t>2026/6/1-
12000片</t>
  </si>
  <si>
    <t>2026/4/16-60
2026/5/14-20</t>
  </si>
  <si>
    <t>2026/4/16-60
2026/5/12-20</t>
  </si>
  <si>
    <t>機打膜</t>
  </si>
  <si>
    <t>0.5*1470M</t>
  </si>
  <si>
    <t>靖霖</t>
  </si>
  <si>
    <t>BM2棧板</t>
  </si>
  <si>
    <t>1150*1180*150mm</t>
  </si>
  <si>
    <t>4/27送SGS檢測耐壓
預計5月底提供報告</t>
  </si>
  <si>
    <t>BM2角紙</t>
  </si>
  <si>
    <t>50*50*5*930mm</t>
  </si>
  <si>
    <t>50*50*5*980mm</t>
  </si>
  <si>
    <t>50*50*5*850mm</t>
  </si>
  <si>
    <t>歌林工業用水冷扇</t>
  </si>
  <si>
    <t>KF-XK1265</t>
  </si>
  <si>
    <t>2026/5/8-100
2026/5/14-100</t>
  </si>
  <si>
    <t>高嘉
興漢</t>
  </si>
  <si>
    <t>2026/5/8
2026/5/14</t>
  </si>
  <si>
    <t>5/8 高嘉*100支(17um)</t>
  </si>
  <si>
    <t>JP1 Crash Detection board 
測試治具</t>
  </si>
  <si>
    <t>坤鼎鑫業訂單總表-點交紀錄</t>
  </si>
  <si>
    <t>點交日</t>
  </si>
  <si>
    <t>PE0.02*50cm*1470M</t>
  </si>
  <si>
    <r>
      <rPr>
        <sz val="12"/>
        <color theme="1" tint="4.9989318521683403E-2"/>
        <rFont val="微軟正黑體"/>
        <family val="2"/>
        <charset val="136"/>
      </rPr>
      <t xml:space="preserve">ZT610 with </t>
    </r>
    <r>
      <rPr>
        <sz val="12"/>
        <color rgb="FFFF0000"/>
        <rFont val="微軟正黑體"/>
        <family val="2"/>
        <charset val="136"/>
      </rPr>
      <t>24</t>
    </r>
    <r>
      <rPr>
        <sz val="12"/>
        <color theme="1" tint="4.9989318521683403E-2"/>
        <rFont val="微軟正黑體"/>
        <family val="2"/>
        <charset val="136"/>
      </rPr>
      <t xml:space="preserve"> dots/mm </t>
    </r>
    <r>
      <rPr>
        <sz val="12"/>
        <color rgb="FFFF0000"/>
        <rFont val="微軟正黑體"/>
        <family val="2"/>
        <charset val="136"/>
      </rPr>
      <t>(600dpi)</t>
    </r>
  </si>
  <si>
    <t>800M</t>
  </si>
  <si>
    <t>PE500.02.185.4P*60箱</t>
  </si>
  <si>
    <t>防水袋</t>
  </si>
  <si>
    <t>1.5M*1.5M*150片*31包</t>
  </si>
  <si>
    <t>PE500.02.185.4P*20箱</t>
  </si>
  <si>
    <t>PE膜50CM*300M*4P*60箱</t>
  </si>
  <si>
    <t>PE膜50CM*270M*4P*125箱</t>
  </si>
  <si>
    <t>1.5M*1.5M*160片*30包</t>
  </si>
  <si>
    <t>打包帶(東大)</t>
  </si>
  <si>
    <t>打包帶(蝦皮)</t>
  </si>
  <si>
    <t>0.017mm × 50cm × 1500M</t>
  </si>
  <si>
    <t>高嘉(+手打膜14um樣品*1)</t>
  </si>
  <si>
    <t>昌祐簽收</t>
  </si>
  <si>
    <t>堅睦</t>
  </si>
  <si>
    <t>JP1主機孔板&amp;尾翼孔定對位治具</t>
  </si>
  <si>
    <t>套</t>
  </si>
  <si>
    <t>Shimon</t>
  </si>
  <si>
    <t>JP1備用定位銷</t>
  </si>
  <si>
    <t>佳諭</t>
  </si>
  <si>
    <t>坤鼎鑫業訂單總表-HBO專案</t>
  </si>
  <si>
    <t>鑫塑</t>
  </si>
  <si>
    <t>5/4 mail</t>
  </si>
  <si>
    <t>3天</t>
  </si>
  <si>
    <t>電木</t>
  </si>
  <si>
    <t>730mm*340mm*5mm</t>
  </si>
  <si>
    <t>pcs</t>
  </si>
  <si>
    <t>自取</t>
  </si>
  <si>
    <t>Jeniffer</t>
  </si>
  <si>
    <t>5/9~5/12</t>
  </si>
  <si>
    <t>USB  HUB 7Port</t>
  </si>
  <si>
    <t>USB HUB 7Port</t>
  </si>
  <si>
    <t>中壢公園店</t>
  </si>
  <si>
    <t>PC HOME</t>
  </si>
  <si>
    <t>USB線*6 公對公</t>
  </si>
  <si>
    <t>1.8m</t>
  </si>
  <si>
    <t>7-11 領航門市</t>
  </si>
  <si>
    <t>蝦皮海外</t>
  </si>
  <si>
    <t>USB線*1 公對母</t>
  </si>
  <si>
    <t>黑色 3m</t>
  </si>
  <si>
    <t>USB3.0轉RJ45 1G外接網路卡</t>
  </si>
  <si>
    <t>USB3.0-A male to RJ45 female</t>
  </si>
  <si>
    <t>ea</t>
  </si>
  <si>
    <t>5/10-5/19</t>
  </si>
  <si>
    <t>USB HUB 延長線到外殼USB插座</t>
  </si>
  <si>
    <t>0.5米D型3.0USB帶線母轉母（黑色</t>
  </si>
  <si>
    <t>4/30 mail</t>
  </si>
  <si>
    <t>5/12前</t>
  </si>
  <si>
    <t>電纜固定頭</t>
  </si>
  <si>
    <t>CAG-25</t>
  </si>
  <si>
    <t>新竹物流
1517259413</t>
  </si>
  <si>
    <t>聯騰</t>
  </si>
  <si>
    <t>麵包板</t>
  </si>
  <si>
    <t>170孔</t>
  </si>
  <si>
    <t>台灣物聯科技</t>
  </si>
  <si>
    <t>2天</t>
  </si>
  <si>
    <t>紅板 2路 5V 繼電器模組 帶光耦隔離</t>
  </si>
  <si>
    <t>High/Low Level Trigger Relay Module</t>
  </si>
  <si>
    <t>全家銀河門市 Doris</t>
  </si>
  <si>
    <t>今華</t>
  </si>
  <si>
    <t>3-7天</t>
  </si>
  <si>
    <t>雙向瞬態電壓抑制二極體(2入)</t>
  </si>
  <si>
    <t xml:space="preserve">P6KE33CA 28.2V </t>
  </si>
  <si>
    <t>TENDTECH
或同規格</t>
  </si>
  <si>
    <t xml:space="preserve">自取 </t>
  </si>
  <si>
    <t>鋁軌</t>
  </si>
  <si>
    <t>TBR-N</t>
  </si>
  <si>
    <t>m</t>
  </si>
  <si>
    <t>桃園區桃鶯路上233號（大倉酷眼鏡後方巷子）</t>
  </si>
  <si>
    <t>紮線帶</t>
  </si>
  <si>
    <t>CV-100</t>
  </si>
  <si>
    <t>Y型端子</t>
  </si>
  <si>
    <t>YF1.25-3</t>
  </si>
  <si>
    <t>絕緣公母插(母)</t>
  </si>
  <si>
    <t>PV2-5A8</t>
  </si>
  <si>
    <t>禾祥興業</t>
  </si>
  <si>
    <t>現場購買</t>
  </si>
  <si>
    <t>兩倍熱縮管</t>
  </si>
  <si>
    <r>
      <rPr>
        <sz val="12"/>
        <rFont val="微軟正黑體"/>
        <family val="2"/>
        <charset val="136"/>
      </rPr>
      <t xml:space="preserve">Φ6mm 黑 </t>
    </r>
    <r>
      <rPr>
        <sz val="12"/>
        <color rgb="FFFF0000"/>
        <rFont val="微軟正黑體"/>
        <family val="2"/>
        <charset val="136"/>
      </rPr>
      <t>1米</t>
    </r>
  </si>
  <si>
    <t>線槽</t>
  </si>
  <si>
    <t>MD-0 25X25 線槽 1.7m</t>
  </si>
  <si>
    <t>蝦皮鴻田</t>
  </si>
  <si>
    <t>5/3~5/10
運費45</t>
  </si>
  <si>
    <t>2.5mm</t>
  </si>
  <si>
    <t>5/3~5/10</t>
  </si>
  <si>
    <t>3.3mm</t>
  </si>
  <si>
    <t>5/4~5/8 
運費45</t>
  </si>
  <si>
    <t>大頭螺絲</t>
  </si>
  <si>
    <t xml:space="preserve">M4*8mm </t>
  </si>
  <si>
    <t>5/3~5/8 
運費45</t>
  </si>
  <si>
    <t>M3絲攻</t>
  </si>
  <si>
    <t>【一盒10入】先端絲攻M3X0.5</t>
  </si>
  <si>
    <t>5/3~5/8</t>
  </si>
  <si>
    <t>M4絲攻</t>
  </si>
  <si>
    <t>【一盒10入】先端絲攻M4X0.7</t>
  </si>
  <si>
    <t>5/7~5/11</t>
  </si>
  <si>
    <t>圓穴鋸</t>
  </si>
  <si>
    <t>OPT圓穴鋸平刃型22MM</t>
  </si>
  <si>
    <t>5/4~5/9</t>
  </si>
  <si>
    <t>電烙鐵組合</t>
  </si>
  <si>
    <t>倉庫 Doris</t>
  </si>
  <si>
    <t>5/4~5/10
運費45</t>
  </si>
  <si>
    <t>熱熔膠條</t>
  </si>
  <si>
    <t>袋</t>
  </si>
  <si>
    <t>坤鼎鑫業訂單總表-IQC</t>
  </si>
  <si>
    <t>星隆</t>
  </si>
  <si>
    <t>Digital Caliper 0–300 mm
數位游標卡尺（量測範圍0~300mm）</t>
  </si>
  <si>
    <t>500-173-30(英公制規格)
300/0.01(可輸出)</t>
  </si>
  <si>
    <t>Digital Caliper 0–150 mm
數位游標卡尺（量測範圍0~150mm）</t>
  </si>
  <si>
    <t>500-196-30
150/0.01</t>
  </si>
  <si>
    <t>Digital Caliper 0–1000 mm
大型數位游標卡尺／長尺型電子卡尺</t>
  </si>
  <si>
    <t>500-507-10
1000/0.01</t>
  </si>
  <si>
    <t>Digital Height Gauge
數位高度規／電子高度規</t>
  </si>
  <si>
    <t>570-414
600/0.01</t>
  </si>
  <si>
    <t>交期120天</t>
  </si>
  <si>
    <t>Thickness Gauge
厚度規／測厚規</t>
  </si>
  <si>
    <t>184-303S
0.05-1mm</t>
  </si>
  <si>
    <t>海運 2026/6/22</t>
  </si>
  <si>
    <r>
      <rPr>
        <sz val="12"/>
        <color theme="1"/>
        <rFont val="Microsoft JhengHei"/>
        <charset val="134"/>
      </rPr>
      <t>Granite Surface Plate</t>
    </r>
    <r>
      <rPr>
        <sz val="12"/>
        <color theme="1"/>
        <rFont val="Times New Roman"/>
        <family val="1"/>
      </rPr>
      <t>​</t>
    </r>
    <r>
      <rPr>
        <sz val="12"/>
        <color theme="1"/>
        <rFont val="Microsoft JhengHei"/>
        <charset val="134"/>
      </rPr>
      <t xml:space="preserve">
花崗石平台／大理石平台</t>
    </r>
  </si>
  <si>
    <t>1000*1000*150毫米</t>
  </si>
  <si>
    <t>含支架、出口包裝</t>
  </si>
  <si>
    <r>
      <rPr>
        <sz val="12"/>
        <color theme="1"/>
        <rFont val="Microsoft JhengHei"/>
        <charset val="134"/>
      </rPr>
      <t>Granite Surface Plate</t>
    </r>
    <r>
      <rPr>
        <sz val="12"/>
        <color theme="1"/>
        <rFont val="MS Gothic"/>
        <family val="3"/>
        <charset val="128"/>
      </rPr>
      <t>​</t>
    </r>
    <r>
      <rPr>
        <sz val="12"/>
        <color theme="1"/>
        <rFont val="Microsoft JhengHei"/>
        <charset val="134"/>
      </rPr>
      <t xml:space="preserve">
花崗石平台／大理石平台</t>
    </r>
  </si>
  <si>
    <t>1000*750*150毫米</t>
  </si>
  <si>
    <t>Micrometer
測微器／千分尺</t>
  </si>
  <si>
    <t>293-240-30
0-25/0.001</t>
  </si>
  <si>
    <t>敏盛</t>
  </si>
  <si>
    <t>Digital Multimeter (DMM)
數位萬用電錶</t>
  </si>
  <si>
    <t>FLUKE-17B+ ESP</t>
  </si>
  <si>
    <t>新竹物流 3354695035</t>
  </si>
  <si>
    <t>L1000*W900*H1840
工作臺高度750mm</t>
  </si>
  <si>
    <t>Tachometer
轉速計／轉速表</t>
  </si>
  <si>
    <t>Fluke 931 接觸式和非接觸式雙用途轉速計</t>
  </si>
  <si>
    <t>坤鼎鑫業訂單總表-簽收單點交紀錄</t>
  </si>
  <si>
    <t>簽收人</t>
  </si>
  <si>
    <t>L1400*W1000*H1840mm</t>
  </si>
  <si>
    <t>顏才堯</t>
  </si>
  <si>
    <t>AS3棧板</t>
  </si>
  <si>
    <t>L100*W120*H12.9cm+HT</t>
  </si>
  <si>
    <t>謝全哲</t>
  </si>
  <si>
    <t>A2025122201</t>
  </si>
  <si>
    <t>石世明</t>
  </si>
  <si>
    <t>AS3防水袋</t>
  </si>
  <si>
    <t>150*150cm</t>
  </si>
  <si>
    <t>劉宇宸</t>
  </si>
  <si>
    <t>JP1空運防水袋</t>
  </si>
  <si>
    <t>180*120cm</t>
  </si>
  <si>
    <t>PE機用膜</t>
  </si>
  <si>
    <t>0.02mm*50cm*1470m</t>
  </si>
  <si>
    <t>PE手打膜</t>
  </si>
  <si>
    <t>0.02mm*50cm*255m</t>
  </si>
  <si>
    <t>宋尉綱</t>
  </si>
  <si>
    <t>164*89*12.8 cm</t>
  </si>
  <si>
    <t>130cm</t>
  </si>
  <si>
    <t>100cm</t>
  </si>
  <si>
    <t>150cm</t>
  </si>
  <si>
    <t>85cm</t>
  </si>
  <si>
    <t>1.5*1.5m</t>
  </si>
  <si>
    <t>PP-1200m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</si>
</sst>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76" formatCode="0_ "/>
    <numFmt numFmtId="177" formatCode="m/d;@"/>
    <numFmt numFmtId="178" formatCode="#,##0_ "/>
    <numFmt numFmtId="179" formatCode="yyyy/m/d;@"/>
    <numFmt numFmtId="180" formatCode="m&quot;月&quot;d&quot;日&quot;"/>
    <numFmt numFmtId="181" formatCode="&quot;$&quot;#,##0"/>
    <numFmt numFmtId="182" formatCode="0_);[Red]\(0\)"/>
  </numFmts>
  <fonts count="45">
    <font>
      <sz val="12"/>
      <color theme="1"/>
      <name val="新細明體"/>
      <charset val="134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theme="1" tint="4.9989318521683403E-2"/>
      <name val="微軟正黑體"/>
      <family val="2"/>
      <charset val="136"/>
    </font>
    <font>
      <sz val="12"/>
      <name val="新細明體"/>
      <family val="1"/>
      <charset val="136"/>
      <scheme val="minor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Microsoft JhengHei"/>
      <charset val="134"/>
    </font>
    <font>
      <sz val="12"/>
      <name val="微軟正黑體"/>
      <family val="2"/>
      <charset val="136"/>
    </font>
    <font>
      <sz val="1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8"/>
      <name val="微軟正黑體"/>
      <family val="2"/>
      <charset val="136"/>
    </font>
    <font>
      <sz val="8"/>
      <color rgb="FFFF0000"/>
      <name val="微軟正黑體"/>
      <family val="2"/>
      <charset val="136"/>
    </font>
    <font>
      <sz val="10"/>
      <name val="微軟正黑體"/>
      <family val="2"/>
      <charset val="136"/>
    </font>
    <font>
      <strike/>
      <sz val="12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0D0D0D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rgb="FF2B2B2B"/>
      <name val="微軟正黑體"/>
      <family val="2"/>
      <charset val="136"/>
    </font>
    <font>
      <sz val="12"/>
      <color rgb="FF0C0C0C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trike/>
      <sz val="12"/>
      <name val="微軟正黑體"/>
      <family val="2"/>
      <charset val="136"/>
    </font>
    <font>
      <strike/>
      <sz val="12"/>
      <color theme="1" tint="4.9989318521683403E-2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color theme="1" tint="4.9989318521683403E-2"/>
      <name val="微軟正黑體"/>
      <family val="2"/>
      <charset val="136"/>
    </font>
    <font>
      <sz val="12"/>
      <color theme="1" tint="4.9989318521683403E-2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2"/>
      <color theme="1"/>
      <name val="Times New Roman"/>
      <family val="1"/>
    </font>
    <font>
      <sz val="12"/>
      <color theme="1"/>
      <name val="MS Gothic"/>
      <family val="3"/>
      <charset val="128"/>
    </font>
    <font>
      <b/>
      <sz val="9"/>
      <color rgb="FFFF00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9"/>
      <name val="新細明體"/>
      <family val="1"/>
      <charset val="136"/>
    </font>
    <font>
      <sz val="9"/>
      <name val="新細明體"/>
      <family val="1"/>
      <charset val="136"/>
    </font>
    <font>
      <b/>
      <sz val="10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A6C9EB"/>
      </patternFill>
    </fill>
    <fill>
      <patternFill patternType="solid">
        <fgColor rgb="FFCDB5EF"/>
        <bgColor indexed="64"/>
      </patternFill>
    </fill>
    <fill>
      <patternFill patternType="solid">
        <fgColor rgb="FFFFF6BE"/>
        <bgColor indexed="64"/>
      </patternFill>
    </fill>
    <fill>
      <patternFill patternType="solid">
        <fgColor rgb="FFE7FFC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AE2FF"/>
        <bgColor indexed="64"/>
      </patternFill>
    </fill>
    <fill>
      <patternFill patternType="solid">
        <fgColor rgb="FFFAE2FF"/>
        <bgColor theme="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slantDashDot">
        <color auto="1"/>
      </bottom>
      <diagonal/>
    </border>
  </borders>
  <cellStyleXfs count="4">
    <xf numFmtId="0" fontId="0" fillId="0" borderId="0">
      <alignment vertical="center"/>
    </xf>
    <xf numFmtId="0" fontId="35" fillId="0" borderId="0">
      <alignment vertical="center"/>
    </xf>
    <xf numFmtId="0" fontId="39" fillId="0" borderId="0"/>
    <xf numFmtId="0" fontId="39" fillId="0" borderId="0"/>
  </cellStyleXfs>
  <cellXfs count="30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8" fontId="1" fillId="0" borderId="0" xfId="0" applyNumberFormat="1" applyFont="1" applyAlignment="1">
      <alignment horizontal="right" vertical="center"/>
    </xf>
    <xf numFmtId="0" fontId="1" fillId="0" borderId="1" xfId="3" applyFont="1" applyBorder="1" applyAlignment="1">
      <alignment horizontal="center" vertical="center" wrapText="1"/>
    </xf>
    <xf numFmtId="179" fontId="1" fillId="0" borderId="1" xfId="3" applyNumberFormat="1" applyFont="1" applyBorder="1" applyAlignment="1">
      <alignment horizontal="center" vertical="center" wrapText="1"/>
    </xf>
    <xf numFmtId="0" fontId="1" fillId="3" borderId="1" xfId="3" applyFont="1" applyFill="1" applyBorder="1" applyAlignment="1">
      <alignment horizontal="center" vertical="center" wrapText="1"/>
    </xf>
    <xf numFmtId="178" fontId="1" fillId="3" borderId="1" xfId="3" applyNumberFormat="1" applyFont="1" applyFill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left" vertical="center" wrapText="1"/>
    </xf>
    <xf numFmtId="0" fontId="2" fillId="0" borderId="1" xfId="3" applyFont="1" applyBorder="1" applyAlignment="1">
      <alignment horizontal="left" vertical="center"/>
    </xf>
    <xf numFmtId="0" fontId="2" fillId="0" borderId="1" xfId="3" applyFont="1" applyBorder="1" applyAlignment="1">
      <alignment horizontal="center" vertical="center"/>
    </xf>
    <xf numFmtId="178" fontId="2" fillId="0" borderId="1" xfId="3" applyNumberFormat="1" applyFont="1" applyBorder="1" applyAlignment="1">
      <alignment horizontal="right" vertical="center"/>
    </xf>
    <xf numFmtId="0" fontId="2" fillId="0" borderId="1" xfId="3" applyFont="1" applyBorder="1" applyAlignment="1">
      <alignment vertical="center"/>
    </xf>
    <xf numFmtId="0" fontId="2" fillId="0" borderId="1" xfId="3" applyFont="1" applyBorder="1" applyAlignment="1">
      <alignment horizontal="left" vertical="center" wrapText="1"/>
    </xf>
    <xf numFmtId="0" fontId="4" fillId="0" borderId="1" xfId="3" applyFont="1" applyBorder="1" applyAlignment="1">
      <alignment vertical="center" wrapText="1"/>
    </xf>
    <xf numFmtId="0" fontId="1" fillId="0" borderId="1" xfId="2" applyFont="1" applyBorder="1" applyAlignment="1">
      <alignment horizontal="left" vertical="center" wrapText="1"/>
    </xf>
    <xf numFmtId="0" fontId="5" fillId="0" borderId="1" xfId="3" applyFont="1" applyBorder="1" applyAlignment="1">
      <alignment horizontal="left" vertical="center" wrapText="1"/>
    </xf>
    <xf numFmtId="0" fontId="5" fillId="0" borderId="1" xfId="3" applyFont="1" applyBorder="1" applyAlignment="1">
      <alignment horizontal="center" vertical="center"/>
    </xf>
    <xf numFmtId="178" fontId="5" fillId="0" borderId="1" xfId="3" applyNumberFormat="1" applyFont="1" applyBorder="1" applyAlignment="1">
      <alignment horizontal="right" vertical="center"/>
    </xf>
    <xf numFmtId="0" fontId="5" fillId="0" borderId="1" xfId="3" applyFont="1" applyBorder="1" applyAlignment="1">
      <alignment vertical="center"/>
    </xf>
    <xf numFmtId="179" fontId="1" fillId="3" borderId="1" xfId="3" applyNumberFormat="1" applyFont="1" applyFill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8" fontId="2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179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1" fillId="0" borderId="1" xfId="3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 wrapText="1"/>
    </xf>
    <xf numFmtId="0" fontId="9" fillId="0" borderId="1" xfId="2" applyFont="1" applyBorder="1" applyAlignment="1">
      <alignment horizontal="left" vertical="center" wrapText="1"/>
    </xf>
    <xf numFmtId="178" fontId="1" fillId="0" borderId="0" xfId="0" applyNumberFormat="1" applyFont="1" applyAlignment="1">
      <alignment horizontal="center" vertical="center"/>
    </xf>
    <xf numFmtId="178" fontId="2" fillId="0" borderId="1" xfId="3" applyNumberFormat="1" applyFont="1" applyBorder="1" applyAlignment="1">
      <alignment horizontal="center" vertical="center"/>
    </xf>
    <xf numFmtId="0" fontId="2" fillId="0" borderId="1" xfId="3" applyFont="1" applyBorder="1" applyAlignment="1">
      <alignment vertical="center" wrapText="1"/>
    </xf>
    <xf numFmtId="0" fontId="10" fillId="0" borderId="0" xfId="0" applyFont="1">
      <alignment vertical="center"/>
    </xf>
    <xf numFmtId="179" fontId="11" fillId="0" borderId="1" xfId="0" applyNumberFormat="1" applyFont="1" applyBorder="1" applyAlignment="1">
      <alignment horizontal="center" vertical="center"/>
    </xf>
    <xf numFmtId="0" fontId="2" fillId="4" borderId="1" xfId="3" applyFont="1" applyFill="1" applyBorder="1" applyAlignment="1">
      <alignment vertical="center"/>
    </xf>
    <xf numFmtId="0" fontId="5" fillId="0" borderId="1" xfId="3" applyFont="1" applyBorder="1" applyAlignment="1">
      <alignment horizontal="left" vertical="center"/>
    </xf>
    <xf numFmtId="0" fontId="12" fillId="0" borderId="1" xfId="3" applyFont="1" applyBorder="1" applyAlignment="1">
      <alignment vertical="center" wrapText="1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176" fontId="1" fillId="0" borderId="0" xfId="0" applyNumberFormat="1" applyFont="1" applyAlignment="1">
      <alignment horizontal="center" vertical="center" shrinkToFit="1"/>
    </xf>
    <xf numFmtId="176" fontId="7" fillId="0" borderId="0" xfId="0" applyNumberFormat="1" applyFont="1" applyAlignment="1">
      <alignment horizontal="center" vertical="center" shrinkToFit="1"/>
    </xf>
    <xf numFmtId="176" fontId="1" fillId="0" borderId="1" xfId="3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shrinkToFit="1"/>
    </xf>
    <xf numFmtId="0" fontId="2" fillId="5" borderId="1" xfId="3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179" fontId="1" fillId="5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 shrinkToFit="1"/>
    </xf>
    <xf numFmtId="0" fontId="1" fillId="5" borderId="1" xfId="2" applyFont="1" applyFill="1" applyBorder="1" applyAlignment="1">
      <alignment horizontal="left" vertical="center" wrapText="1"/>
    </xf>
    <xf numFmtId="0" fontId="2" fillId="6" borderId="1" xfId="3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179" fontId="1" fillId="6" borderId="1" xfId="0" applyNumberFormat="1" applyFont="1" applyFill="1" applyBorder="1" applyAlignment="1">
      <alignment horizontal="center" vertical="center"/>
    </xf>
    <xf numFmtId="0" fontId="1" fillId="6" borderId="1" xfId="2" applyFont="1" applyFill="1" applyBorder="1" applyAlignment="1">
      <alignment horizontal="left" vertical="center" wrapText="1"/>
    </xf>
    <xf numFmtId="179" fontId="12" fillId="6" borderId="1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shrinkToFit="1"/>
    </xf>
    <xf numFmtId="0" fontId="1" fillId="7" borderId="1" xfId="2" applyFont="1" applyFill="1" applyBorder="1" applyAlignment="1">
      <alignment horizontal="left" vertical="center" wrapText="1"/>
    </xf>
    <xf numFmtId="179" fontId="14" fillId="6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 shrinkToFit="1"/>
    </xf>
    <xf numFmtId="176" fontId="2" fillId="0" borderId="1" xfId="0" applyNumberFormat="1" applyFont="1" applyBorder="1" applyAlignment="1">
      <alignment horizontal="center" vertical="center" wrapText="1" shrinkToFit="1"/>
    </xf>
    <xf numFmtId="176" fontId="2" fillId="0" borderId="2" xfId="0" applyNumberFormat="1" applyFont="1" applyBorder="1" applyAlignment="1">
      <alignment horizontal="center" vertical="center" shrinkToFit="1"/>
    </xf>
    <xf numFmtId="179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9" fontId="17" fillId="0" borderId="1" xfId="0" applyNumberFormat="1" applyFont="1" applyBorder="1" applyAlignment="1">
      <alignment horizontal="center" vertical="center" wrapText="1"/>
    </xf>
    <xf numFmtId="179" fontId="12" fillId="0" borderId="1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shrinkToFit="1"/>
    </xf>
    <xf numFmtId="179" fontId="11" fillId="0" borderId="1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shrinkToFit="1"/>
    </xf>
    <xf numFmtId="0" fontId="5" fillId="5" borderId="1" xfId="3" applyFont="1" applyFill="1" applyBorder="1" applyAlignment="1">
      <alignment horizontal="left" vertical="center" wrapText="1"/>
    </xf>
    <xf numFmtId="0" fontId="5" fillId="5" borderId="1" xfId="3" applyFont="1" applyFill="1" applyBorder="1" applyAlignment="1">
      <alignment horizontal="center" vertical="center"/>
    </xf>
    <xf numFmtId="178" fontId="5" fillId="5" borderId="1" xfId="3" applyNumberFormat="1" applyFont="1" applyFill="1" applyBorder="1" applyAlignment="1">
      <alignment horizontal="right" vertical="center"/>
    </xf>
    <xf numFmtId="0" fontId="5" fillId="5" borderId="1" xfId="3" applyFont="1" applyFill="1" applyBorder="1" applyAlignment="1">
      <alignment vertical="center"/>
    </xf>
    <xf numFmtId="179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5" fillId="6" borderId="1" xfId="3" applyFont="1" applyFill="1" applyBorder="1" applyAlignment="1">
      <alignment horizontal="left" vertical="center" wrapText="1"/>
    </xf>
    <xf numFmtId="0" fontId="5" fillId="6" borderId="1" xfId="3" applyFont="1" applyFill="1" applyBorder="1" applyAlignment="1">
      <alignment horizontal="center" vertical="center"/>
    </xf>
    <xf numFmtId="178" fontId="5" fillId="6" borderId="1" xfId="3" applyNumberFormat="1" applyFont="1" applyFill="1" applyBorder="1" applyAlignment="1">
      <alignment horizontal="right" vertical="center"/>
    </xf>
    <xf numFmtId="0" fontId="5" fillId="6" borderId="1" xfId="3" applyFont="1" applyFill="1" applyBorder="1" applyAlignment="1">
      <alignment vertical="center"/>
    </xf>
    <xf numFmtId="179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180" fontId="5" fillId="0" borderId="1" xfId="3" applyNumberFormat="1" applyFont="1" applyBorder="1" applyAlignment="1">
      <alignment vertical="center" wrapText="1"/>
    </xf>
    <xf numFmtId="180" fontId="13" fillId="0" borderId="1" xfId="3" applyNumberFormat="1" applyFont="1" applyBorder="1" applyAlignment="1">
      <alignment vertical="center" wrapText="1"/>
    </xf>
    <xf numFmtId="0" fontId="18" fillId="8" borderId="0" xfId="0" applyFont="1" applyFill="1">
      <alignment vertical="center"/>
    </xf>
    <xf numFmtId="177" fontId="1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 shrinkToFit="1"/>
    </xf>
    <xf numFmtId="44" fontId="1" fillId="0" borderId="0" xfId="0" applyNumberFormat="1" applyFont="1" applyAlignment="1">
      <alignment vertical="center" shrinkToFit="1"/>
    </xf>
    <xf numFmtId="179" fontId="19" fillId="0" borderId="0" xfId="0" applyNumberFormat="1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 shrinkToFit="1"/>
    </xf>
    <xf numFmtId="179" fontId="2" fillId="0" borderId="1" xfId="3" applyNumberFormat="1" applyFont="1" applyBorder="1" applyAlignment="1">
      <alignment horizontal="center" vertical="center" wrapText="1"/>
    </xf>
    <xf numFmtId="176" fontId="2" fillId="0" borderId="1" xfId="3" applyNumberFormat="1" applyFont="1" applyBorder="1" applyAlignment="1">
      <alignment horizontal="center" vertical="center" shrinkToFit="1"/>
    </xf>
    <xf numFmtId="0" fontId="1" fillId="9" borderId="1" xfId="3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shrinkToFit="1"/>
    </xf>
    <xf numFmtId="0" fontId="5" fillId="10" borderId="1" xfId="3" applyFont="1" applyFill="1" applyBorder="1" applyAlignment="1">
      <alignment horizontal="left" vertical="center" wrapText="1"/>
    </xf>
    <xf numFmtId="179" fontId="20" fillId="0" borderId="1" xfId="0" applyNumberFormat="1" applyFont="1" applyBorder="1" applyAlignment="1">
      <alignment horizontal="center" vertical="center" wrapText="1"/>
    </xf>
    <xf numFmtId="179" fontId="21" fillId="0" borderId="1" xfId="0" applyNumberFormat="1" applyFont="1" applyBorder="1" applyAlignment="1">
      <alignment horizontal="center" vertical="center" wrapText="1"/>
    </xf>
    <xf numFmtId="0" fontId="5" fillId="10" borderId="1" xfId="3" applyFont="1" applyFill="1" applyBorder="1" applyAlignment="1">
      <alignment horizontal="left" vertical="center"/>
    </xf>
    <xf numFmtId="0" fontId="1" fillId="10" borderId="1" xfId="3" applyFont="1" applyFill="1" applyBorder="1" applyAlignment="1">
      <alignment horizontal="left" vertical="center"/>
    </xf>
    <xf numFmtId="177" fontId="1" fillId="0" borderId="1" xfId="0" applyNumberFormat="1" applyFont="1" applyBorder="1" applyAlignment="1">
      <alignment horizontal="center" vertical="center"/>
    </xf>
    <xf numFmtId="179" fontId="22" fillId="0" borderId="1" xfId="0" applyNumberFormat="1" applyFont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left" vertical="center"/>
    </xf>
    <xf numFmtId="0" fontId="1" fillId="7" borderId="1" xfId="3" applyFont="1" applyFill="1" applyBorder="1" applyAlignment="1">
      <alignment horizontal="left" vertical="center"/>
    </xf>
    <xf numFmtId="0" fontId="1" fillId="10" borderId="1" xfId="3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179" fontId="13" fillId="0" borderId="1" xfId="0" applyNumberFormat="1" applyFont="1" applyBorder="1" applyAlignment="1">
      <alignment horizontal="center" vertical="center"/>
    </xf>
    <xf numFmtId="0" fontId="23" fillId="12" borderId="1" xfId="0" applyFont="1" applyFill="1" applyBorder="1" applyAlignment="1">
      <alignment horizontal="left" vertical="center"/>
    </xf>
    <xf numFmtId="0" fontId="23" fillId="13" borderId="1" xfId="0" applyFont="1" applyFill="1" applyBorder="1" applyAlignment="1">
      <alignment horizontal="left" vertical="center"/>
    </xf>
    <xf numFmtId="182" fontId="5" fillId="10" borderId="1" xfId="3" applyNumberFormat="1" applyFont="1" applyFill="1" applyBorder="1" applyAlignment="1">
      <alignment horizontal="left" vertical="center"/>
    </xf>
    <xf numFmtId="0" fontId="23" fillId="12" borderId="1" xfId="0" applyFont="1" applyFill="1" applyBorder="1" applyAlignment="1">
      <alignment horizontal="left" vertical="center" wrapText="1"/>
    </xf>
    <xf numFmtId="179" fontId="1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left" vertical="center" wrapText="1"/>
    </xf>
    <xf numFmtId="44" fontId="1" fillId="3" borderId="1" xfId="3" applyNumberFormat="1" applyFont="1" applyFill="1" applyBorder="1" applyAlignment="1">
      <alignment horizontal="center" vertical="center" wrapText="1" shrinkToFit="1"/>
    </xf>
    <xf numFmtId="0" fontId="5" fillId="7" borderId="1" xfId="3" applyFont="1" applyFill="1" applyBorder="1" applyAlignment="1">
      <alignment horizontal="left" vertical="center"/>
    </xf>
    <xf numFmtId="0" fontId="5" fillId="7" borderId="1" xfId="3" applyFont="1" applyFill="1" applyBorder="1" applyAlignment="1">
      <alignment horizontal="center" vertical="center"/>
    </xf>
    <xf numFmtId="44" fontId="5" fillId="7" borderId="1" xfId="3" applyNumberFormat="1" applyFont="1" applyFill="1" applyBorder="1" applyAlignment="1">
      <alignment horizontal="right" vertical="center" shrinkToFit="1"/>
    </xf>
    <xf numFmtId="42" fontId="5" fillId="7" borderId="1" xfId="3" applyNumberFormat="1" applyFont="1" applyFill="1" applyBorder="1" applyAlignment="1">
      <alignment horizontal="right" vertical="center"/>
    </xf>
    <xf numFmtId="42" fontId="5" fillId="10" borderId="1" xfId="3" applyNumberFormat="1" applyFont="1" applyFill="1" applyBorder="1" applyAlignment="1">
      <alignment horizontal="right" vertical="center" wrapText="1"/>
    </xf>
    <xf numFmtId="0" fontId="5" fillId="7" borderId="1" xfId="3" applyFont="1" applyFill="1" applyBorder="1" applyAlignment="1">
      <alignment vertical="center"/>
    </xf>
    <xf numFmtId="0" fontId="5" fillId="7" borderId="1" xfId="3" applyFont="1" applyFill="1" applyBorder="1" applyAlignment="1">
      <alignment vertical="center" wrapText="1"/>
    </xf>
    <xf numFmtId="0" fontId="5" fillId="10" borderId="1" xfId="3" applyFont="1" applyFill="1" applyBorder="1" applyAlignment="1">
      <alignment horizontal="center" vertical="center" wrapText="1"/>
    </xf>
    <xf numFmtId="44" fontId="5" fillId="10" borderId="1" xfId="3" applyNumberFormat="1" applyFont="1" applyFill="1" applyBorder="1" applyAlignment="1">
      <alignment horizontal="right" vertical="center" shrinkToFit="1"/>
    </xf>
    <xf numFmtId="0" fontId="1" fillId="7" borderId="1" xfId="3" applyFont="1" applyFill="1" applyBorder="1" applyAlignment="1">
      <alignment horizontal="center" vertical="center"/>
    </xf>
    <xf numFmtId="44" fontId="1" fillId="7" borderId="1" xfId="3" applyNumberFormat="1" applyFont="1" applyFill="1" applyBorder="1" applyAlignment="1">
      <alignment horizontal="right" vertical="center" shrinkToFit="1"/>
    </xf>
    <xf numFmtId="42" fontId="1" fillId="7" borderId="1" xfId="3" applyNumberFormat="1" applyFont="1" applyFill="1" applyBorder="1" applyAlignment="1">
      <alignment horizontal="right" vertical="center"/>
    </xf>
    <xf numFmtId="0" fontId="23" fillId="11" borderId="1" xfId="0" applyFont="1" applyFill="1" applyBorder="1" applyAlignment="1">
      <alignment horizontal="center" vertical="center"/>
    </xf>
    <xf numFmtId="0" fontId="1" fillId="7" borderId="1" xfId="3" applyFont="1" applyFill="1" applyBorder="1" applyAlignment="1">
      <alignment horizontal="left"/>
    </xf>
    <xf numFmtId="0" fontId="1" fillId="10" borderId="1" xfId="3" applyFont="1" applyFill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/>
    </xf>
    <xf numFmtId="0" fontId="1" fillId="10" borderId="1" xfId="3" applyFont="1" applyFill="1" applyBorder="1" applyAlignment="1">
      <alignment horizontal="center" vertical="center" wrapText="1"/>
    </xf>
    <xf numFmtId="44" fontId="1" fillId="10" borderId="1" xfId="3" applyNumberFormat="1" applyFont="1" applyFill="1" applyBorder="1" applyAlignment="1">
      <alignment horizontal="right" vertical="center" shrinkToFit="1"/>
    </xf>
    <xf numFmtId="42" fontId="1" fillId="10" borderId="1" xfId="3" applyNumberFormat="1" applyFont="1" applyFill="1" applyBorder="1" applyAlignment="1">
      <alignment horizontal="right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center" vertical="center"/>
    </xf>
    <xf numFmtId="44" fontId="13" fillId="14" borderId="1" xfId="3" applyNumberFormat="1" applyFont="1" applyFill="1" applyBorder="1" applyAlignment="1">
      <alignment horizontal="right" vertical="center" shrinkToFit="1"/>
    </xf>
    <xf numFmtId="42" fontId="13" fillId="14" borderId="1" xfId="3" applyNumberFormat="1" applyFont="1" applyFill="1" applyBorder="1" applyAlignment="1">
      <alignment horizontal="right" vertical="center"/>
    </xf>
    <xf numFmtId="42" fontId="13" fillId="15" borderId="1" xfId="3" applyNumberFormat="1" applyFont="1" applyFill="1" applyBorder="1" applyAlignment="1">
      <alignment horizontal="right" vertical="center" wrapText="1"/>
    </xf>
    <xf numFmtId="0" fontId="5" fillId="7" borderId="1" xfId="3" applyFont="1" applyFill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23" fillId="0" borderId="1" xfId="0" applyFont="1" applyBorder="1" applyAlignment="1">
      <alignment horizontal="center" vertical="center"/>
    </xf>
    <xf numFmtId="44" fontId="1" fillId="0" borderId="1" xfId="0" applyNumberFormat="1" applyFont="1" applyBorder="1" applyAlignment="1">
      <alignment vertical="center" shrinkToFit="1"/>
    </xf>
    <xf numFmtId="42" fontId="1" fillId="0" borderId="1" xfId="0" applyNumberFormat="1" applyFont="1" applyBorder="1">
      <alignment vertical="center"/>
    </xf>
    <xf numFmtId="0" fontId="5" fillId="9" borderId="1" xfId="3" applyFont="1" applyFill="1" applyBorder="1" applyAlignment="1">
      <alignment horizontal="left" vertical="center" wrapText="1"/>
    </xf>
    <xf numFmtId="42" fontId="5" fillId="10" borderId="1" xfId="3" applyNumberFormat="1" applyFont="1" applyFill="1" applyBorder="1" applyAlignment="1">
      <alignment horizontal="right" vertical="center"/>
    </xf>
    <xf numFmtId="0" fontId="24" fillId="13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top" wrapText="1"/>
    </xf>
    <xf numFmtId="0" fontId="13" fillId="0" borderId="1" xfId="0" applyFont="1" applyBorder="1">
      <alignment vertical="center"/>
    </xf>
    <xf numFmtId="179" fontId="25" fillId="0" borderId="1" xfId="0" applyNumberFormat="1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/>
    </xf>
    <xf numFmtId="0" fontId="24" fillId="1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79" fontId="25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44" fontId="5" fillId="14" borderId="1" xfId="3" applyNumberFormat="1" applyFont="1" applyFill="1" applyBorder="1" applyAlignment="1">
      <alignment horizontal="right" vertical="center" shrinkToFit="1"/>
    </xf>
    <xf numFmtId="42" fontId="5" fillId="14" borderId="1" xfId="3" applyNumberFormat="1" applyFont="1" applyFill="1" applyBorder="1" applyAlignment="1">
      <alignment horizontal="right" vertical="center" wrapText="1"/>
    </xf>
    <xf numFmtId="0" fontId="5" fillId="14" borderId="1" xfId="3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27" fillId="1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1" fontId="5" fillId="7" borderId="1" xfId="3" applyNumberFormat="1" applyFont="1" applyFill="1" applyBorder="1" applyAlignment="1">
      <alignment horizontal="right" vertical="center"/>
    </xf>
    <xf numFmtId="181" fontId="5" fillId="10" borderId="1" xfId="3" applyNumberFormat="1" applyFont="1" applyFill="1" applyBorder="1" applyAlignment="1">
      <alignment horizontal="right" vertical="center" wrapText="1"/>
    </xf>
    <xf numFmtId="0" fontId="1" fillId="0" borderId="1" xfId="3" applyFont="1" applyBorder="1" applyAlignment="1">
      <alignment horizontal="left" vertical="center" wrapText="1"/>
    </xf>
    <xf numFmtId="179" fontId="28" fillId="0" borderId="1" xfId="0" applyNumberFormat="1" applyFont="1" applyBorder="1" applyAlignment="1">
      <alignment horizontal="center" vertical="center"/>
    </xf>
    <xf numFmtId="0" fontId="5" fillId="17" borderId="1" xfId="3" applyFont="1" applyFill="1" applyBorder="1" applyAlignment="1">
      <alignment horizontal="left" vertical="center" wrapText="1"/>
    </xf>
    <xf numFmtId="0" fontId="1" fillId="0" borderId="1" xfId="3" applyFont="1" applyBorder="1" applyAlignment="1">
      <alignment horizontal="left" vertical="center"/>
    </xf>
    <xf numFmtId="0" fontId="29" fillId="8" borderId="1" xfId="3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179" fontId="18" fillId="8" borderId="1" xfId="0" applyNumberFormat="1" applyFont="1" applyFill="1" applyBorder="1" applyAlignment="1">
      <alignment horizontal="center" vertical="center"/>
    </xf>
    <xf numFmtId="179" fontId="29" fillId="8" borderId="1" xfId="0" applyNumberFormat="1" applyFont="1" applyFill="1" applyBorder="1" applyAlignment="1">
      <alignment horizontal="center" vertical="center"/>
    </xf>
    <xf numFmtId="0" fontId="18" fillId="8" borderId="1" xfId="2" applyFont="1" applyFill="1" applyBorder="1" applyAlignment="1">
      <alignment horizontal="left" vertical="center" wrapText="1"/>
    </xf>
    <xf numFmtId="179" fontId="29" fillId="8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/>
    </xf>
    <xf numFmtId="181" fontId="1" fillId="7" borderId="1" xfId="3" applyNumberFormat="1" applyFont="1" applyFill="1" applyBorder="1" applyAlignment="1">
      <alignment horizontal="right" vertical="center"/>
    </xf>
    <xf numFmtId="0" fontId="30" fillId="8" borderId="1" xfId="3" applyFont="1" applyFill="1" applyBorder="1" applyAlignment="1">
      <alignment horizontal="left" vertical="center"/>
    </xf>
    <xf numFmtId="0" fontId="30" fillId="8" borderId="1" xfId="3" applyFont="1" applyFill="1" applyBorder="1" applyAlignment="1">
      <alignment horizontal="center" vertical="center"/>
    </xf>
    <xf numFmtId="181" fontId="30" fillId="8" borderId="1" xfId="3" applyNumberFormat="1" applyFont="1" applyFill="1" applyBorder="1" applyAlignment="1">
      <alignment horizontal="right" vertical="center"/>
    </xf>
    <xf numFmtId="181" fontId="30" fillId="8" borderId="1" xfId="3" applyNumberFormat="1" applyFont="1" applyFill="1" applyBorder="1" applyAlignment="1">
      <alignment horizontal="right" vertical="center" wrapText="1"/>
    </xf>
    <xf numFmtId="0" fontId="30" fillId="8" borderId="1" xfId="3" applyFont="1" applyFill="1" applyBorder="1" applyAlignment="1">
      <alignment vertical="center"/>
    </xf>
    <xf numFmtId="0" fontId="18" fillId="8" borderId="1" xfId="0" applyFont="1" applyFill="1" applyBorder="1" applyAlignment="1">
      <alignment vertical="center" wrapText="1"/>
    </xf>
    <xf numFmtId="0" fontId="2" fillId="0" borderId="5" xfId="3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179" fontId="1" fillId="0" borderId="5" xfId="0" applyNumberFormat="1" applyFont="1" applyBorder="1" applyAlignment="1">
      <alignment horizontal="center" vertical="center"/>
    </xf>
    <xf numFmtId="0" fontId="2" fillId="7" borderId="5" xfId="2" applyFont="1" applyFill="1" applyBorder="1" applyAlignment="1">
      <alignment horizontal="left" vertical="center" wrapText="1"/>
    </xf>
    <xf numFmtId="0" fontId="2" fillId="0" borderId="4" xfId="3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79" fontId="2" fillId="0" borderId="4" xfId="0" applyNumberFormat="1" applyFont="1" applyBorder="1" applyAlignment="1">
      <alignment horizontal="center" vertical="center"/>
    </xf>
    <xf numFmtId="179" fontId="2" fillId="0" borderId="4" xfId="0" applyNumberFormat="1" applyFont="1" applyBorder="1" applyAlignment="1">
      <alignment horizontal="center" vertical="center" wrapText="1"/>
    </xf>
    <xf numFmtId="176" fontId="17" fillId="0" borderId="4" xfId="0" applyNumberFormat="1" applyFont="1" applyBorder="1" applyAlignment="1">
      <alignment horizontal="center" vertical="center" shrinkToFit="1"/>
    </xf>
    <xf numFmtId="0" fontId="1" fillId="7" borderId="4" xfId="2" applyFont="1" applyFill="1" applyBorder="1" applyAlignment="1">
      <alignment horizontal="left" vertical="center" wrapText="1"/>
    </xf>
    <xf numFmtId="0" fontId="13" fillId="10" borderId="1" xfId="3" applyFont="1" applyFill="1" applyBorder="1" applyAlignment="1">
      <alignment horizontal="left" vertical="center" wrapText="1"/>
    </xf>
    <xf numFmtId="179" fontId="31" fillId="0" borderId="1" xfId="0" applyNumberFormat="1" applyFont="1" applyBorder="1" applyAlignment="1">
      <alignment horizontal="center" vertical="center"/>
    </xf>
    <xf numFmtId="0" fontId="13" fillId="7" borderId="1" xfId="2" applyFont="1" applyFill="1" applyBorder="1" applyAlignment="1">
      <alignment horizontal="left" vertical="center" wrapText="1"/>
    </xf>
    <xf numFmtId="179" fontId="15" fillId="0" borderId="1" xfId="0" applyNumberFormat="1" applyFont="1" applyBorder="1" applyAlignment="1">
      <alignment horizontal="center" vertical="center" wrapText="1"/>
    </xf>
    <xf numFmtId="179" fontId="14" fillId="0" borderId="1" xfId="0" applyNumberFormat="1" applyFont="1" applyBorder="1" applyAlignment="1">
      <alignment horizontal="center" vertical="center" wrapText="1"/>
    </xf>
    <xf numFmtId="179" fontId="13" fillId="0" borderId="1" xfId="0" applyNumberFormat="1" applyFont="1" applyBorder="1" applyAlignment="1">
      <alignment horizontal="center" vertical="center" wrapText="1"/>
    </xf>
    <xf numFmtId="0" fontId="13" fillId="18" borderId="1" xfId="3" applyFont="1" applyFill="1" applyBorder="1" applyAlignment="1">
      <alignment horizontal="center" vertical="center"/>
    </xf>
    <xf numFmtId="0" fontId="2" fillId="7" borderId="5" xfId="3" applyFont="1" applyFill="1" applyBorder="1" applyAlignment="1">
      <alignment horizontal="left" vertical="center"/>
    </xf>
    <xf numFmtId="0" fontId="2" fillId="7" borderId="5" xfId="3" applyFont="1" applyFill="1" applyBorder="1" applyAlignment="1">
      <alignment horizontal="center" vertical="center"/>
    </xf>
    <xf numFmtId="44" fontId="5" fillId="7" borderId="5" xfId="3" applyNumberFormat="1" applyFont="1" applyFill="1" applyBorder="1" applyAlignment="1">
      <alignment horizontal="right" vertical="center" shrinkToFit="1"/>
    </xf>
    <xf numFmtId="181" fontId="5" fillId="7" borderId="5" xfId="3" applyNumberFormat="1" applyFont="1" applyFill="1" applyBorder="1" applyAlignment="1">
      <alignment horizontal="right" vertical="center"/>
    </xf>
    <xf numFmtId="181" fontId="5" fillId="10" borderId="5" xfId="3" applyNumberFormat="1" applyFont="1" applyFill="1" applyBorder="1" applyAlignment="1">
      <alignment horizontal="right" vertical="center" wrapText="1"/>
    </xf>
    <xf numFmtId="0" fontId="5" fillId="7" borderId="5" xfId="3" applyFont="1" applyFill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5" fillId="7" borderId="4" xfId="3" applyFont="1" applyFill="1" applyBorder="1" applyAlignment="1">
      <alignment horizontal="left" vertical="center"/>
    </xf>
    <xf numFmtId="0" fontId="5" fillId="7" borderId="4" xfId="3" applyFont="1" applyFill="1" applyBorder="1" applyAlignment="1">
      <alignment horizontal="center" vertical="center"/>
    </xf>
    <xf numFmtId="44" fontId="5" fillId="7" borderId="4" xfId="3" applyNumberFormat="1" applyFont="1" applyFill="1" applyBorder="1" applyAlignment="1">
      <alignment horizontal="right" vertical="center" shrinkToFit="1"/>
    </xf>
    <xf numFmtId="181" fontId="5" fillId="7" borderId="4" xfId="3" applyNumberFormat="1" applyFont="1" applyFill="1" applyBorder="1" applyAlignment="1">
      <alignment horizontal="right" vertical="center"/>
    </xf>
    <xf numFmtId="181" fontId="5" fillId="10" borderId="4" xfId="3" applyNumberFormat="1" applyFont="1" applyFill="1" applyBorder="1" applyAlignment="1">
      <alignment horizontal="right" vertical="center" wrapText="1"/>
    </xf>
    <xf numFmtId="0" fontId="5" fillId="7" borderId="4" xfId="3" applyFont="1" applyFill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3" fillId="7" borderId="1" xfId="3" applyFont="1" applyFill="1" applyBorder="1" applyAlignment="1">
      <alignment horizontal="center" vertical="center"/>
    </xf>
    <xf numFmtId="0" fontId="13" fillId="7" borderId="1" xfId="3" applyFont="1" applyFill="1" applyBorder="1" applyAlignment="1">
      <alignment horizontal="left" vertical="center" wrapText="1"/>
    </xf>
    <xf numFmtId="44" fontId="5" fillId="18" borderId="1" xfId="3" applyNumberFormat="1" applyFont="1" applyFill="1" applyBorder="1" applyAlignment="1">
      <alignment horizontal="right" vertical="center" shrinkToFit="1"/>
    </xf>
    <xf numFmtId="181" fontId="5" fillId="18" borderId="1" xfId="3" applyNumberFormat="1" applyFont="1" applyFill="1" applyBorder="1" applyAlignment="1">
      <alignment horizontal="right" vertical="center"/>
    </xf>
    <xf numFmtId="181" fontId="5" fillId="18" borderId="1" xfId="3" applyNumberFormat="1" applyFont="1" applyFill="1" applyBorder="1" applyAlignment="1">
      <alignment horizontal="right" vertical="center" wrapText="1"/>
    </xf>
    <xf numFmtId="0" fontId="5" fillId="18" borderId="1" xfId="3" applyFont="1" applyFill="1" applyBorder="1" applyAlignment="1">
      <alignment vertical="center"/>
    </xf>
    <xf numFmtId="44" fontId="5" fillId="0" borderId="1" xfId="3" applyNumberFormat="1" applyFont="1" applyBorder="1" applyAlignment="1">
      <alignment horizontal="right" vertical="center" shrinkToFit="1"/>
    </xf>
    <xf numFmtId="181" fontId="5" fillId="0" borderId="1" xfId="3" applyNumberFormat="1" applyFont="1" applyBorder="1" applyAlignment="1">
      <alignment horizontal="right" vertical="center"/>
    </xf>
    <xf numFmtId="181" fontId="5" fillId="0" borderId="1" xfId="3" applyNumberFormat="1" applyFont="1" applyBorder="1" applyAlignment="1">
      <alignment horizontal="right" vertical="center" wrapText="1"/>
    </xf>
    <xf numFmtId="0" fontId="13" fillId="0" borderId="1" xfId="0" applyFont="1" applyBorder="1" applyAlignment="1">
      <alignment vertical="center" wrapText="1"/>
    </xf>
    <xf numFmtId="0" fontId="5" fillId="7" borderId="5" xfId="3" applyFont="1" applyFill="1" applyBorder="1" applyAlignment="1">
      <alignment vertical="center" wrapText="1"/>
    </xf>
    <xf numFmtId="0" fontId="2" fillId="18" borderId="1" xfId="3" applyFont="1" applyFill="1" applyBorder="1" applyAlignment="1">
      <alignment horizontal="center" vertical="center" wrapText="1"/>
    </xf>
    <xf numFmtId="0" fontId="32" fillId="18" borderId="1" xfId="0" applyFont="1" applyFill="1" applyBorder="1" applyAlignment="1">
      <alignment horizontal="center" vertical="center"/>
    </xf>
    <xf numFmtId="179" fontId="2" fillId="18" borderId="1" xfId="0" applyNumberFormat="1" applyFont="1" applyFill="1" applyBorder="1" applyAlignment="1">
      <alignment horizontal="center" vertical="center"/>
    </xf>
    <xf numFmtId="179" fontId="1" fillId="18" borderId="1" xfId="0" applyNumberFormat="1" applyFont="1" applyFill="1" applyBorder="1" applyAlignment="1">
      <alignment horizontal="center" vertical="center"/>
    </xf>
    <xf numFmtId="177" fontId="1" fillId="18" borderId="1" xfId="0" applyNumberFormat="1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 shrinkToFit="1"/>
    </xf>
    <xf numFmtId="0" fontId="1" fillId="18" borderId="1" xfId="2" applyFont="1" applyFill="1" applyBorder="1" applyAlignment="1">
      <alignment horizontal="left" vertical="center" wrapText="1"/>
    </xf>
    <xf numFmtId="0" fontId="2" fillId="14" borderId="1" xfId="3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0" fontId="13" fillId="7" borderId="2" xfId="2" applyFont="1" applyFill="1" applyBorder="1" applyAlignment="1">
      <alignment horizontal="left" vertical="center" wrapText="1"/>
    </xf>
    <xf numFmtId="0" fontId="2" fillId="19" borderId="1" xfId="3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179" fontId="2" fillId="19" borderId="1" xfId="0" applyNumberFormat="1" applyFont="1" applyFill="1" applyBorder="1" applyAlignment="1">
      <alignment horizontal="center" vertical="center"/>
    </xf>
    <xf numFmtId="179" fontId="1" fillId="19" borderId="1" xfId="0" applyNumberFormat="1" applyFont="1" applyFill="1" applyBorder="1" applyAlignment="1">
      <alignment horizontal="center" vertical="center"/>
    </xf>
    <xf numFmtId="177" fontId="1" fillId="19" borderId="1" xfId="0" applyNumberFormat="1" applyFont="1" applyFill="1" applyBorder="1" applyAlignment="1">
      <alignment horizontal="center" vertical="center"/>
    </xf>
    <xf numFmtId="176" fontId="2" fillId="19" borderId="1" xfId="0" applyNumberFormat="1" applyFont="1" applyFill="1" applyBorder="1" applyAlignment="1">
      <alignment horizontal="center" vertical="center" shrinkToFit="1"/>
    </xf>
    <xf numFmtId="0" fontId="1" fillId="19" borderId="1" xfId="2" applyFont="1" applyFill="1" applyBorder="1" applyAlignment="1">
      <alignment horizontal="left" vertical="center" wrapText="1"/>
    </xf>
    <xf numFmtId="177" fontId="1" fillId="0" borderId="4" xfId="0" applyNumberFormat="1" applyFont="1" applyBorder="1" applyAlignment="1">
      <alignment horizontal="center" vertical="center"/>
    </xf>
    <xf numFmtId="0" fontId="5" fillId="18" borderId="1" xfId="3" applyFont="1" applyFill="1" applyBorder="1" applyAlignment="1">
      <alignment horizontal="left" vertical="center"/>
    </xf>
    <xf numFmtId="0" fontId="5" fillId="18" borderId="1" xfId="3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vertical="center" wrapText="1"/>
    </xf>
    <xf numFmtId="181" fontId="33" fillId="7" borderId="1" xfId="3" applyNumberFormat="1" applyFont="1" applyFill="1" applyBorder="1" applyAlignment="1">
      <alignment horizontal="right" vertical="center" wrapText="1"/>
    </xf>
    <xf numFmtId="0" fontId="34" fillId="0" borderId="1" xfId="3" applyFont="1" applyBorder="1" applyAlignment="1">
      <alignment horizontal="left" vertical="center"/>
    </xf>
    <xf numFmtId="0" fontId="13" fillId="0" borderId="2" xfId="3" applyFont="1" applyBorder="1" applyAlignment="1">
      <alignment horizontal="left" vertical="center"/>
    </xf>
    <xf numFmtId="0" fontId="5" fillId="7" borderId="2" xfId="3" applyFont="1" applyFill="1" applyBorder="1" applyAlignment="1">
      <alignment horizontal="center" vertical="center"/>
    </xf>
    <xf numFmtId="44" fontId="5" fillId="7" borderId="6" xfId="3" applyNumberFormat="1" applyFont="1" applyFill="1" applyBorder="1" applyAlignment="1">
      <alignment horizontal="right" vertical="center" shrinkToFit="1"/>
    </xf>
    <xf numFmtId="181" fontId="5" fillId="7" borderId="6" xfId="3" applyNumberFormat="1" applyFont="1" applyFill="1" applyBorder="1" applyAlignment="1">
      <alignment horizontal="right" vertical="center"/>
    </xf>
    <xf numFmtId="181" fontId="5" fillId="10" borderId="6" xfId="3" applyNumberFormat="1" applyFont="1" applyFill="1" applyBorder="1" applyAlignment="1">
      <alignment horizontal="right" vertical="center" wrapText="1"/>
    </xf>
    <xf numFmtId="0" fontId="5" fillId="7" borderId="6" xfId="3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19" borderId="1" xfId="3" applyFont="1" applyFill="1" applyBorder="1" applyAlignment="1">
      <alignment horizontal="left" vertical="center" wrapText="1"/>
    </xf>
    <xf numFmtId="0" fontId="5" fillId="19" borderId="1" xfId="3" applyFont="1" applyFill="1" applyBorder="1" applyAlignment="1">
      <alignment horizontal="center" vertical="center"/>
    </xf>
    <xf numFmtId="44" fontId="5" fillId="19" borderId="4" xfId="3" applyNumberFormat="1" applyFont="1" applyFill="1" applyBorder="1" applyAlignment="1">
      <alignment horizontal="right" vertical="center" shrinkToFit="1"/>
    </xf>
    <xf numFmtId="181" fontId="5" fillId="19" borderId="4" xfId="3" applyNumberFormat="1" applyFont="1" applyFill="1" applyBorder="1" applyAlignment="1">
      <alignment horizontal="right" vertical="center"/>
    </xf>
    <xf numFmtId="181" fontId="5" fillId="20" borderId="4" xfId="3" applyNumberFormat="1" applyFont="1" applyFill="1" applyBorder="1" applyAlignment="1">
      <alignment horizontal="right" vertical="center" wrapText="1"/>
    </xf>
    <xf numFmtId="0" fontId="5" fillId="19" borderId="4" xfId="3" applyFont="1" applyFill="1" applyBorder="1" applyAlignment="1">
      <alignment vertical="center"/>
    </xf>
    <xf numFmtId="0" fontId="1" fillId="19" borderId="1" xfId="0" applyFont="1" applyFill="1" applyBorder="1" applyAlignment="1">
      <alignment vertical="center" wrapText="1"/>
    </xf>
    <xf numFmtId="44" fontId="5" fillId="19" borderId="1" xfId="3" applyNumberFormat="1" applyFont="1" applyFill="1" applyBorder="1" applyAlignment="1">
      <alignment horizontal="right" vertical="center" shrinkToFit="1"/>
    </xf>
    <xf numFmtId="181" fontId="5" fillId="19" borderId="1" xfId="3" applyNumberFormat="1" applyFont="1" applyFill="1" applyBorder="1" applyAlignment="1">
      <alignment horizontal="right" vertical="center"/>
    </xf>
    <xf numFmtId="181" fontId="5" fillId="20" borderId="1" xfId="3" applyNumberFormat="1" applyFont="1" applyFill="1" applyBorder="1" applyAlignment="1">
      <alignment horizontal="right" vertical="center" wrapText="1"/>
    </xf>
    <xf numFmtId="0" fontId="5" fillId="19" borderId="1" xfId="3" applyFont="1" applyFill="1" applyBorder="1" applyAlignment="1">
      <alignment vertical="center"/>
    </xf>
    <xf numFmtId="0" fontId="5" fillId="19" borderId="1" xfId="3" applyFont="1" applyFill="1" applyBorder="1" applyAlignment="1">
      <alignment horizontal="left" vertical="center"/>
    </xf>
    <xf numFmtId="0" fontId="5" fillId="7" borderId="4" xfId="3" applyFont="1" applyFill="1" applyBorder="1" applyAlignment="1">
      <alignment horizontal="left" vertical="center" wrapText="1"/>
    </xf>
    <xf numFmtId="181" fontId="5" fillId="7" borderId="1" xfId="3" applyNumberFormat="1" applyFont="1" applyFill="1" applyBorder="1" applyAlignment="1">
      <alignment horizontal="right" vertical="center" wrapText="1"/>
    </xf>
    <xf numFmtId="0" fontId="13" fillId="18" borderId="1" xfId="0" applyFont="1" applyFill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79" fontId="15" fillId="0" borderId="2" xfId="0" applyNumberFormat="1" applyFont="1" applyBorder="1" applyAlignment="1">
      <alignment horizontal="center" vertical="center" wrapText="1"/>
    </xf>
    <xf numFmtId="179" fontId="15" fillId="0" borderId="3" xfId="0" applyNumberFormat="1" applyFont="1" applyBorder="1" applyAlignment="1">
      <alignment horizontal="center" vertical="center" wrapText="1"/>
    </xf>
    <xf numFmtId="179" fontId="15" fillId="0" borderId="4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179" fontId="1" fillId="0" borderId="4" xfId="0" applyNumberFormat="1" applyFont="1" applyBorder="1" applyAlignment="1">
      <alignment horizontal="center" vertical="center"/>
    </xf>
    <xf numFmtId="179" fontId="16" fillId="0" borderId="2" xfId="0" applyNumberFormat="1" applyFont="1" applyBorder="1" applyAlignment="1">
      <alignment horizontal="center" vertical="center" wrapText="1"/>
    </xf>
    <xf numFmtId="179" fontId="16" fillId="0" borderId="3" xfId="0" applyNumberFormat="1" applyFont="1" applyBorder="1" applyAlignment="1">
      <alignment horizontal="center" vertical="center" wrapText="1"/>
    </xf>
    <xf numFmtId="179" fontId="16" fillId="0" borderId="4" xfId="0" applyNumberFormat="1" applyFont="1" applyBorder="1" applyAlignment="1">
      <alignment horizontal="center" vertical="center" wrapText="1"/>
    </xf>
    <xf numFmtId="176" fontId="2" fillId="6" borderId="2" xfId="0" applyNumberFormat="1" applyFont="1" applyFill="1" applyBorder="1" applyAlignment="1">
      <alignment horizontal="center" vertical="center" shrinkToFit="1"/>
    </xf>
    <xf numFmtId="176" fontId="2" fillId="6" borderId="3" xfId="0" applyNumberFormat="1" applyFont="1" applyFill="1" applyBorder="1" applyAlignment="1">
      <alignment horizontal="center" vertical="center" shrinkToFit="1"/>
    </xf>
    <xf numFmtId="176" fontId="2" fillId="6" borderId="4" xfId="0" applyNumberFormat="1" applyFont="1" applyFill="1" applyBorder="1" applyAlignment="1">
      <alignment horizontal="center" vertical="center" shrinkToFit="1"/>
    </xf>
    <xf numFmtId="0" fontId="3" fillId="2" borderId="0" xfId="0" applyFont="1" applyFill="1" applyAlignment="1">
      <alignment horizontal="left" vertical="center"/>
    </xf>
    <xf numFmtId="176" fontId="2" fillId="0" borderId="2" xfId="0" applyNumberFormat="1" applyFont="1" applyBorder="1" applyAlignment="1">
      <alignment vertical="center" shrinkToFit="1"/>
    </xf>
  </cellXfs>
  <cellStyles count="4">
    <cellStyle name="一般" xfId="0" builtinId="0"/>
    <cellStyle name="一般 2" xfId="2" xr:uid="{00000000-0005-0000-0000-000021000000}"/>
    <cellStyle name="一般 4" xfId="3" xr:uid="{00000000-0005-0000-0000-000027000000}"/>
    <cellStyle name="常规 2" xfId="1" xr:uid="{00000000-0005-0000-0000-000003000000}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/>
  <colors>
    <mruColors>
      <color rgb="FFC4E759"/>
      <color rgb="FFD4FF98"/>
      <color rgb="FFCDB5EF"/>
      <color rgb="FFFFF6BE"/>
      <color rgb="FFD0CAE3"/>
      <color rgb="FFCDC4E9"/>
      <color rgb="FFDBCFF2"/>
      <color rgb="FFD7CDEA"/>
      <color rgb="FFE7FFC3"/>
      <color rgb="FFFAE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Angles">
      <a:dk1>
        <a:srgbClr val="000000"/>
      </a:dk1>
      <a:lt1>
        <a:srgbClr val="FFFFFF"/>
      </a:lt1>
      <a:dk2>
        <a:srgbClr val="434342"/>
      </a:dk2>
      <a:lt2>
        <a:srgbClr val="CDD7D9"/>
      </a:lt2>
      <a:accent1>
        <a:srgbClr val="797B7E"/>
      </a:accent1>
      <a:accent2>
        <a:srgbClr val="F96A1B"/>
      </a:accent2>
      <a:accent3>
        <a:srgbClr val="08A1D9"/>
      </a:accent3>
      <a:accent4>
        <a:srgbClr val="7C984A"/>
      </a:accent4>
      <a:accent5>
        <a:srgbClr val="C2AD8D"/>
      </a:accent5>
      <a:accent6>
        <a:srgbClr val="506E94"/>
      </a:accent6>
      <a:hlink>
        <a:srgbClr val="5F5F5F"/>
      </a:hlink>
      <a:folHlink>
        <a:srgbClr val="969696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R335"/>
  <sheetViews>
    <sheetView topLeftCell="F1" zoomScale="80" zoomScaleNormal="80" workbookViewId="0">
      <pane ySplit="2" topLeftCell="A31" activePane="bottomLeft" state="frozen"/>
      <selection pane="bottomLeft" activeCell="M182" sqref="M182"/>
    </sheetView>
  </sheetViews>
  <sheetFormatPr defaultColWidth="9" defaultRowHeight="15.75"/>
  <cols>
    <col min="1" max="1" width="6.875" style="1" customWidth="1"/>
    <col min="2" max="2" width="6.875" style="2" customWidth="1"/>
    <col min="3" max="3" width="15.125" style="31" customWidth="1"/>
    <col min="4" max="4" width="12.875" style="4" customWidth="1"/>
    <col min="5" max="5" width="10.5" style="100" customWidth="1"/>
    <col min="6" max="6" width="18.375" style="4" customWidth="1"/>
    <col min="7" max="7" width="15.625" style="101" customWidth="1"/>
    <col min="8" max="8" width="32.5" style="5" customWidth="1"/>
    <col min="9" max="9" width="30" style="5" customWidth="1"/>
    <col min="10" max="10" width="4.875" style="1" customWidth="1"/>
    <col min="11" max="11" width="5.5" style="1" customWidth="1"/>
    <col min="12" max="12" width="10.625" style="102" customWidth="1"/>
    <col min="13" max="13" width="10.625" style="1" customWidth="1"/>
    <col min="14" max="14" width="12.625" style="1" customWidth="1"/>
    <col min="15" max="15" width="38.25" style="1" customWidth="1"/>
    <col min="16" max="16" width="16.75" style="1" customWidth="1"/>
    <col min="17" max="17" width="27.375" style="1" customWidth="1"/>
    <col min="18" max="18" width="19" style="1" customWidth="1"/>
    <col min="19" max="16384" width="9" style="1"/>
  </cols>
  <sheetData>
    <row r="1" spans="1:18" ht="30" customHeight="1">
      <c r="A1" s="36" t="s">
        <v>0</v>
      </c>
      <c r="C1" s="103"/>
      <c r="D1" s="37"/>
      <c r="E1" s="38"/>
      <c r="F1" s="37"/>
      <c r="G1" s="104"/>
    </row>
    <row r="2" spans="1:18" s="2" customFormat="1" ht="31.5">
      <c r="A2" s="7" t="s">
        <v>1</v>
      </c>
      <c r="B2" s="9" t="s">
        <v>2</v>
      </c>
      <c r="C2" s="105" t="s">
        <v>3</v>
      </c>
      <c r="D2" s="8" t="s">
        <v>4</v>
      </c>
      <c r="E2" s="39" t="s">
        <v>5</v>
      </c>
      <c r="F2" s="8" t="s">
        <v>6</v>
      </c>
      <c r="G2" s="106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128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</row>
    <row r="3" spans="1:18" ht="30.75" hidden="1" customHeight="1">
      <c r="A3" s="7">
        <v>1</v>
      </c>
      <c r="B3" s="107" t="s">
        <v>19</v>
      </c>
      <c r="C3" s="58">
        <v>46083</v>
      </c>
      <c r="D3" s="58" t="s">
        <v>20</v>
      </c>
      <c r="E3" s="58"/>
      <c r="F3" s="58"/>
      <c r="G3" s="108">
        <v>4370096526</v>
      </c>
      <c r="H3" s="109" t="s">
        <v>21</v>
      </c>
      <c r="I3" s="129" t="s">
        <v>22</v>
      </c>
      <c r="J3" s="130" t="s">
        <v>23</v>
      </c>
      <c r="K3" s="130">
        <v>200</v>
      </c>
      <c r="L3" s="131"/>
      <c r="M3" s="132">
        <v>193</v>
      </c>
      <c r="N3" s="133">
        <f t="shared" ref="N3:N66" si="0">M3*K3</f>
        <v>38600</v>
      </c>
      <c r="O3" s="134" t="s">
        <v>24</v>
      </c>
      <c r="P3" s="135" t="s">
        <v>25</v>
      </c>
      <c r="Q3" s="135"/>
      <c r="R3" s="135" t="s">
        <v>26</v>
      </c>
    </row>
    <row r="4" spans="1:18" ht="30" hidden="1" customHeight="1">
      <c r="A4" s="7">
        <v>2</v>
      </c>
      <c r="B4" s="2" t="s">
        <v>19</v>
      </c>
      <c r="C4" s="58">
        <v>46106</v>
      </c>
      <c r="D4" s="58" t="s">
        <v>27</v>
      </c>
      <c r="E4" s="58" t="s">
        <v>19</v>
      </c>
      <c r="F4" s="58">
        <v>46106</v>
      </c>
      <c r="G4" s="108">
        <v>4370096526</v>
      </c>
      <c r="H4" s="109" t="s">
        <v>28</v>
      </c>
      <c r="I4" s="129" t="s">
        <v>29</v>
      </c>
      <c r="J4" s="130" t="s">
        <v>30</v>
      </c>
      <c r="K4" s="130">
        <v>50</v>
      </c>
      <c r="L4" s="131"/>
      <c r="M4" s="132">
        <v>656</v>
      </c>
      <c r="N4" s="133">
        <f t="shared" si="0"/>
        <v>32800</v>
      </c>
      <c r="O4" s="134" t="s">
        <v>24</v>
      </c>
      <c r="P4" s="135" t="s">
        <v>25</v>
      </c>
      <c r="Q4" s="135"/>
      <c r="R4" s="135" t="s">
        <v>26</v>
      </c>
    </row>
    <row r="5" spans="1:18" ht="30" hidden="1" customHeight="1">
      <c r="A5" s="7">
        <v>3</v>
      </c>
      <c r="B5" s="107" t="s">
        <v>19</v>
      </c>
      <c r="C5" s="110" t="s">
        <v>31</v>
      </c>
      <c r="D5" s="58" t="s">
        <v>27</v>
      </c>
      <c r="E5" s="58"/>
      <c r="F5" s="58"/>
      <c r="G5" s="108">
        <v>4370096526</v>
      </c>
      <c r="H5" s="109" t="s">
        <v>32</v>
      </c>
      <c r="I5" s="109" t="s">
        <v>33</v>
      </c>
      <c r="J5" s="136" t="s">
        <v>34</v>
      </c>
      <c r="K5" s="136">
        <v>505</v>
      </c>
      <c r="L5" s="137"/>
      <c r="M5" s="133">
        <v>55</v>
      </c>
      <c r="N5" s="132">
        <f t="shared" si="0"/>
        <v>27775</v>
      </c>
      <c r="O5" s="134" t="s">
        <v>24</v>
      </c>
      <c r="P5" s="135" t="s">
        <v>25</v>
      </c>
      <c r="Q5" s="135"/>
      <c r="R5" s="135" t="s">
        <v>26</v>
      </c>
    </row>
    <row r="6" spans="1:18" ht="30" hidden="1" customHeight="1">
      <c r="A6" s="7">
        <v>4</v>
      </c>
      <c r="B6" s="107" t="s">
        <v>19</v>
      </c>
      <c r="C6" s="111" t="s">
        <v>35</v>
      </c>
      <c r="D6" s="58" t="s">
        <v>27</v>
      </c>
      <c r="E6" s="58" t="s">
        <v>19</v>
      </c>
      <c r="F6" s="58" t="s">
        <v>36</v>
      </c>
      <c r="G6" s="108">
        <v>4370096526</v>
      </c>
      <c r="H6" s="112" t="s">
        <v>37</v>
      </c>
      <c r="I6" s="129" t="s">
        <v>38</v>
      </c>
      <c r="J6" s="130" t="s">
        <v>34</v>
      </c>
      <c r="K6" s="130">
        <v>60</v>
      </c>
      <c r="L6" s="131"/>
      <c r="M6" s="132">
        <v>437</v>
      </c>
      <c r="N6" s="133">
        <f t="shared" si="0"/>
        <v>26220</v>
      </c>
      <c r="O6" s="134" t="s">
        <v>24</v>
      </c>
      <c r="P6" s="135" t="s">
        <v>25</v>
      </c>
      <c r="Q6" s="135"/>
      <c r="R6" s="135" t="s">
        <v>26</v>
      </c>
    </row>
    <row r="7" spans="1:18" ht="30" hidden="1" customHeight="1">
      <c r="A7" s="7">
        <v>5</v>
      </c>
      <c r="B7" s="107" t="s">
        <v>19</v>
      </c>
      <c r="C7" s="58">
        <v>46079</v>
      </c>
      <c r="D7" s="58" t="s">
        <v>39</v>
      </c>
      <c r="E7" s="58" t="s">
        <v>19</v>
      </c>
      <c r="F7" s="58"/>
      <c r="G7" s="108">
        <v>4370096526</v>
      </c>
      <c r="H7" s="113" t="s">
        <v>40</v>
      </c>
      <c r="I7" s="138" t="s">
        <v>41</v>
      </c>
      <c r="J7" s="138" t="s">
        <v>42</v>
      </c>
      <c r="K7" s="138">
        <v>193</v>
      </c>
      <c r="L7" s="139"/>
      <c r="M7" s="140">
        <v>120</v>
      </c>
      <c r="N7" s="133">
        <f t="shared" si="0"/>
        <v>23160</v>
      </c>
      <c r="O7" s="135" t="s">
        <v>43</v>
      </c>
      <c r="P7" s="135" t="s">
        <v>25</v>
      </c>
      <c r="Q7" s="135"/>
      <c r="R7" s="135" t="s">
        <v>26</v>
      </c>
    </row>
    <row r="8" spans="1:18" ht="30" hidden="1" customHeight="1">
      <c r="A8" s="7">
        <v>6</v>
      </c>
      <c r="B8" s="107" t="s">
        <v>19</v>
      </c>
      <c r="C8" s="58">
        <v>46078</v>
      </c>
      <c r="D8" s="58" t="s">
        <v>44</v>
      </c>
      <c r="E8" s="58" t="s">
        <v>19</v>
      </c>
      <c r="F8" s="58"/>
      <c r="G8" s="108">
        <v>4370096526</v>
      </c>
      <c r="H8" s="109" t="s">
        <v>45</v>
      </c>
      <c r="I8" s="109"/>
      <c r="J8" s="136" t="s">
        <v>46</v>
      </c>
      <c r="K8" s="136">
        <v>2</v>
      </c>
      <c r="L8" s="137"/>
      <c r="M8" s="133">
        <v>11170</v>
      </c>
      <c r="N8" s="133">
        <f t="shared" si="0"/>
        <v>22340</v>
      </c>
      <c r="O8" s="134" t="s">
        <v>24</v>
      </c>
      <c r="P8" s="135" t="s">
        <v>25</v>
      </c>
      <c r="Q8" s="135"/>
      <c r="R8" s="135" t="s">
        <v>26</v>
      </c>
    </row>
    <row r="9" spans="1:18" ht="30" hidden="1" customHeight="1">
      <c r="A9" s="7">
        <v>7</v>
      </c>
      <c r="B9" s="107" t="s">
        <v>19</v>
      </c>
      <c r="C9" s="58">
        <v>46097</v>
      </c>
      <c r="D9" s="58" t="s">
        <v>27</v>
      </c>
      <c r="E9" s="58" t="s">
        <v>19</v>
      </c>
      <c r="F9" s="58" t="s">
        <v>36</v>
      </c>
      <c r="G9" s="108">
        <v>4370096526</v>
      </c>
      <c r="H9" s="109" t="s">
        <v>47</v>
      </c>
      <c r="I9" s="109" t="s">
        <v>48</v>
      </c>
      <c r="J9" s="136" t="s">
        <v>34</v>
      </c>
      <c r="K9" s="136">
        <v>5</v>
      </c>
      <c r="L9" s="137"/>
      <c r="M9" s="133">
        <v>3580</v>
      </c>
      <c r="N9" s="133">
        <f t="shared" si="0"/>
        <v>17900</v>
      </c>
      <c r="O9" s="134" t="s">
        <v>24</v>
      </c>
      <c r="P9" s="135" t="s">
        <v>25</v>
      </c>
      <c r="Q9" s="135"/>
      <c r="R9" s="135" t="s">
        <v>26</v>
      </c>
    </row>
    <row r="10" spans="1:18" ht="30" hidden="1" customHeight="1">
      <c r="A10" s="7">
        <v>8</v>
      </c>
      <c r="B10" s="107" t="s">
        <v>19</v>
      </c>
      <c r="C10" s="58">
        <v>46097</v>
      </c>
      <c r="D10" s="58" t="s">
        <v>27</v>
      </c>
      <c r="E10" s="58" t="s">
        <v>19</v>
      </c>
      <c r="F10" s="58" t="s">
        <v>36</v>
      </c>
      <c r="G10" s="108">
        <v>4370096526</v>
      </c>
      <c r="H10" s="109" t="s">
        <v>49</v>
      </c>
      <c r="I10" s="109" t="s">
        <v>50</v>
      </c>
      <c r="J10" s="136" t="s">
        <v>46</v>
      </c>
      <c r="K10" s="136">
        <v>5</v>
      </c>
      <c r="L10" s="137"/>
      <c r="M10" s="133">
        <v>2884</v>
      </c>
      <c r="N10" s="133">
        <f t="shared" si="0"/>
        <v>14420</v>
      </c>
      <c r="O10" s="134" t="s">
        <v>24</v>
      </c>
      <c r="P10" s="135" t="s">
        <v>25</v>
      </c>
      <c r="Q10" s="135"/>
      <c r="R10" s="135" t="s">
        <v>26</v>
      </c>
    </row>
    <row r="11" spans="1:18" ht="30" hidden="1" customHeight="1">
      <c r="A11" s="7">
        <v>9</v>
      </c>
      <c r="B11" s="107" t="s">
        <v>19</v>
      </c>
      <c r="C11" s="58">
        <v>46078</v>
      </c>
      <c r="D11" s="58" t="s">
        <v>51</v>
      </c>
      <c r="E11" s="58" t="s">
        <v>19</v>
      </c>
      <c r="F11" s="58"/>
      <c r="G11" s="108">
        <v>4370096526</v>
      </c>
      <c r="H11" s="109" t="s">
        <v>52</v>
      </c>
      <c r="I11" s="129" t="s">
        <v>53</v>
      </c>
      <c r="J11" s="130" t="s">
        <v>46</v>
      </c>
      <c r="K11" s="130">
        <v>3</v>
      </c>
      <c r="L11" s="131"/>
      <c r="M11" s="132">
        <v>3750</v>
      </c>
      <c r="N11" s="133">
        <f t="shared" si="0"/>
        <v>11250</v>
      </c>
      <c r="O11" s="134" t="s">
        <v>24</v>
      </c>
      <c r="P11" s="135" t="s">
        <v>25</v>
      </c>
      <c r="Q11" s="135"/>
      <c r="R11" s="135" t="s">
        <v>26</v>
      </c>
    </row>
    <row r="12" spans="1:18" ht="30" hidden="1" customHeight="1">
      <c r="A12" s="7">
        <v>10</v>
      </c>
      <c r="B12" s="107" t="s">
        <v>54</v>
      </c>
      <c r="C12" s="26" t="s">
        <v>55</v>
      </c>
      <c r="D12" s="58" t="s">
        <v>27</v>
      </c>
      <c r="E12" s="114"/>
      <c r="F12" s="115" t="s">
        <v>56</v>
      </c>
      <c r="G12" s="108">
        <v>4370096526</v>
      </c>
      <c r="H12" s="109" t="s">
        <v>57</v>
      </c>
      <c r="I12" s="129" t="s">
        <v>58</v>
      </c>
      <c r="J12" s="130" t="s">
        <v>23</v>
      </c>
      <c r="K12" s="130">
        <v>25</v>
      </c>
      <c r="L12" s="131"/>
      <c r="M12" s="132">
        <v>335</v>
      </c>
      <c r="N12" s="133">
        <f t="shared" si="0"/>
        <v>8375</v>
      </c>
      <c r="O12" s="134" t="s">
        <v>24</v>
      </c>
      <c r="P12" s="135" t="s">
        <v>25</v>
      </c>
      <c r="Q12" s="135"/>
      <c r="R12" s="135" t="s">
        <v>26</v>
      </c>
    </row>
    <row r="13" spans="1:18" ht="30" hidden="1" customHeight="1">
      <c r="A13" s="7">
        <v>11</v>
      </c>
      <c r="B13" s="107" t="s">
        <v>19</v>
      </c>
      <c r="C13" s="110" t="s">
        <v>59</v>
      </c>
      <c r="D13" s="58" t="s">
        <v>27</v>
      </c>
      <c r="E13" s="58"/>
      <c r="F13" s="58"/>
      <c r="G13" s="108">
        <v>4370096526</v>
      </c>
      <c r="H13" s="109" t="s">
        <v>32</v>
      </c>
      <c r="I13" s="109" t="s">
        <v>60</v>
      </c>
      <c r="J13" s="136" t="s">
        <v>34</v>
      </c>
      <c r="K13" s="136">
        <v>125</v>
      </c>
      <c r="L13" s="137"/>
      <c r="M13" s="133">
        <v>55</v>
      </c>
      <c r="N13" s="132">
        <f t="shared" si="0"/>
        <v>6875</v>
      </c>
      <c r="O13" s="134" t="s">
        <v>24</v>
      </c>
      <c r="P13" s="135" t="s">
        <v>25</v>
      </c>
      <c r="Q13" s="135"/>
      <c r="R13" s="135" t="s">
        <v>26</v>
      </c>
    </row>
    <row r="14" spans="1:18" ht="30" hidden="1" customHeight="1">
      <c r="A14" s="7">
        <v>12</v>
      </c>
      <c r="B14" s="107" t="s">
        <v>19</v>
      </c>
      <c r="C14" s="58">
        <v>46078</v>
      </c>
      <c r="D14" s="58" t="s">
        <v>61</v>
      </c>
      <c r="E14" s="58" t="s">
        <v>19</v>
      </c>
      <c r="F14" s="58"/>
      <c r="G14" s="108">
        <v>4370096526</v>
      </c>
      <c r="H14" s="109" t="s">
        <v>62</v>
      </c>
      <c r="I14" s="129"/>
      <c r="J14" s="130" t="s">
        <v>23</v>
      </c>
      <c r="K14" s="130">
        <v>2</v>
      </c>
      <c r="L14" s="131"/>
      <c r="M14" s="132">
        <v>2658</v>
      </c>
      <c r="N14" s="133">
        <f t="shared" si="0"/>
        <v>5316</v>
      </c>
      <c r="O14" s="134" t="s">
        <v>24</v>
      </c>
      <c r="P14" s="135" t="s">
        <v>25</v>
      </c>
      <c r="Q14" s="135"/>
      <c r="R14" s="135" t="s">
        <v>26</v>
      </c>
    </row>
    <row r="15" spans="1:18" ht="30" hidden="1" customHeight="1">
      <c r="A15" s="7">
        <v>13</v>
      </c>
      <c r="B15" s="107" t="s">
        <v>19</v>
      </c>
      <c r="C15" s="58">
        <v>46091</v>
      </c>
      <c r="D15" s="58" t="s">
        <v>27</v>
      </c>
      <c r="E15" s="58"/>
      <c r="F15" s="58"/>
      <c r="G15" s="108">
        <v>4370096526</v>
      </c>
      <c r="H15" s="109" t="s">
        <v>63</v>
      </c>
      <c r="I15" s="129" t="s">
        <v>64</v>
      </c>
      <c r="J15" s="136" t="s">
        <v>34</v>
      </c>
      <c r="K15" s="136">
        <v>20</v>
      </c>
      <c r="L15" s="137"/>
      <c r="M15" s="133">
        <v>232</v>
      </c>
      <c r="N15" s="133">
        <f t="shared" si="0"/>
        <v>4640</v>
      </c>
      <c r="O15" s="134" t="s">
        <v>24</v>
      </c>
      <c r="P15" s="135" t="s">
        <v>25</v>
      </c>
      <c r="Q15" s="135"/>
      <c r="R15" s="135" t="s">
        <v>26</v>
      </c>
    </row>
    <row r="16" spans="1:18" ht="30" hidden="1" customHeight="1">
      <c r="A16" s="7">
        <v>14</v>
      </c>
      <c r="B16" s="107" t="s">
        <v>19</v>
      </c>
      <c r="C16" s="58">
        <v>46092</v>
      </c>
      <c r="D16" s="58" t="s">
        <v>27</v>
      </c>
      <c r="E16" s="58"/>
      <c r="F16" s="58"/>
      <c r="G16" s="108">
        <v>4370096526</v>
      </c>
      <c r="H16" s="116" t="s">
        <v>32</v>
      </c>
      <c r="I16" s="116" t="s">
        <v>65</v>
      </c>
      <c r="J16" s="141" t="s">
        <v>66</v>
      </c>
      <c r="K16" s="141">
        <v>65</v>
      </c>
      <c r="L16" s="139"/>
      <c r="M16" s="140">
        <v>55</v>
      </c>
      <c r="N16" s="133">
        <f t="shared" si="0"/>
        <v>3575</v>
      </c>
      <c r="O16" s="134" t="s">
        <v>24</v>
      </c>
      <c r="P16" s="135" t="s">
        <v>25</v>
      </c>
      <c r="Q16" s="135"/>
      <c r="R16" s="135" t="s">
        <v>26</v>
      </c>
    </row>
    <row r="17" spans="1:18" ht="30" hidden="1" customHeight="1">
      <c r="A17" s="7">
        <v>15</v>
      </c>
      <c r="B17" s="107" t="s">
        <v>19</v>
      </c>
      <c r="C17" s="58">
        <v>46092</v>
      </c>
      <c r="D17" s="58" t="s">
        <v>27</v>
      </c>
      <c r="E17" s="58"/>
      <c r="F17" s="58"/>
      <c r="G17" s="108">
        <v>4370096526</v>
      </c>
      <c r="H17" s="116" t="s">
        <v>32</v>
      </c>
      <c r="I17" s="116" t="s">
        <v>67</v>
      </c>
      <c r="J17" s="141" t="s">
        <v>66</v>
      </c>
      <c r="K17" s="141">
        <v>65</v>
      </c>
      <c r="L17" s="139"/>
      <c r="M17" s="140">
        <v>55</v>
      </c>
      <c r="N17" s="133">
        <f t="shared" si="0"/>
        <v>3575</v>
      </c>
      <c r="O17" s="134" t="s">
        <v>24</v>
      </c>
      <c r="P17" s="135" t="s">
        <v>25</v>
      </c>
      <c r="Q17" s="135"/>
      <c r="R17" s="135" t="s">
        <v>26</v>
      </c>
    </row>
    <row r="18" spans="1:18" ht="30" hidden="1" customHeight="1">
      <c r="A18" s="7">
        <v>16</v>
      </c>
      <c r="B18" s="107" t="s">
        <v>19</v>
      </c>
      <c r="C18" s="58">
        <v>46086</v>
      </c>
      <c r="D18" s="58" t="s">
        <v>27</v>
      </c>
      <c r="E18" s="58"/>
      <c r="F18" s="58"/>
      <c r="G18" s="108">
        <v>4370096526</v>
      </c>
      <c r="H18" s="112" t="s">
        <v>68</v>
      </c>
      <c r="I18" s="129" t="s">
        <v>69</v>
      </c>
      <c r="J18" s="130" t="s">
        <v>34</v>
      </c>
      <c r="K18" s="130">
        <v>50</v>
      </c>
      <c r="L18" s="131"/>
      <c r="M18" s="132">
        <v>70</v>
      </c>
      <c r="N18" s="133">
        <f t="shared" si="0"/>
        <v>3500</v>
      </c>
      <c r="O18" s="134" t="s">
        <v>24</v>
      </c>
      <c r="P18" s="135" t="s">
        <v>25</v>
      </c>
      <c r="Q18" s="135"/>
      <c r="R18" s="135" t="s">
        <v>26</v>
      </c>
    </row>
    <row r="19" spans="1:18" ht="30" hidden="1" customHeight="1">
      <c r="A19" s="7">
        <v>17</v>
      </c>
      <c r="B19" s="107" t="s">
        <v>19</v>
      </c>
      <c r="C19" s="58">
        <v>46080</v>
      </c>
      <c r="D19" s="28" t="s">
        <v>70</v>
      </c>
      <c r="E19" s="28"/>
      <c r="F19" s="28"/>
      <c r="G19" s="108">
        <v>4370096526</v>
      </c>
      <c r="H19" s="113" t="s">
        <v>71</v>
      </c>
      <c r="I19" s="117" t="s">
        <v>72</v>
      </c>
      <c r="J19" s="138" t="s">
        <v>34</v>
      </c>
      <c r="K19" s="138">
        <v>1</v>
      </c>
      <c r="L19" s="139"/>
      <c r="M19" s="140">
        <v>1470</v>
      </c>
      <c r="N19" s="133">
        <f t="shared" si="0"/>
        <v>1470</v>
      </c>
      <c r="O19" s="134" t="s">
        <v>24</v>
      </c>
      <c r="P19" s="135" t="s">
        <v>25</v>
      </c>
      <c r="Q19" s="135"/>
      <c r="R19" s="135" t="s">
        <v>26</v>
      </c>
    </row>
    <row r="20" spans="1:18" ht="30" hidden="1" customHeight="1">
      <c r="A20" s="7">
        <v>18</v>
      </c>
      <c r="B20" s="107" t="s">
        <v>19</v>
      </c>
      <c r="C20" s="58">
        <v>46083</v>
      </c>
      <c r="D20" s="58" t="s">
        <v>27</v>
      </c>
      <c r="E20" s="58"/>
      <c r="F20" s="58"/>
      <c r="G20" s="108">
        <v>4370096526</v>
      </c>
      <c r="H20" s="113" t="s">
        <v>73</v>
      </c>
      <c r="I20" s="142"/>
      <c r="J20" s="138" t="s">
        <v>34</v>
      </c>
      <c r="K20" s="138">
        <v>1</v>
      </c>
      <c r="L20" s="139"/>
      <c r="M20" s="140">
        <v>967</v>
      </c>
      <c r="N20" s="133">
        <f t="shared" si="0"/>
        <v>967</v>
      </c>
      <c r="O20" s="134" t="s">
        <v>24</v>
      </c>
      <c r="P20" s="135" t="s">
        <v>25</v>
      </c>
      <c r="Q20" s="135"/>
      <c r="R20" s="135" t="s">
        <v>26</v>
      </c>
    </row>
    <row r="21" spans="1:18" ht="30" hidden="1" customHeight="1">
      <c r="A21" s="7">
        <v>19</v>
      </c>
      <c r="B21" s="107" t="s">
        <v>19</v>
      </c>
      <c r="C21" s="28" t="s">
        <v>74</v>
      </c>
      <c r="D21" s="58" t="s">
        <v>27</v>
      </c>
      <c r="E21" s="58"/>
      <c r="F21" s="58"/>
      <c r="G21" s="108">
        <v>4370096526</v>
      </c>
      <c r="H21" s="117" t="s">
        <v>75</v>
      </c>
      <c r="I21" s="117" t="s">
        <v>76</v>
      </c>
      <c r="J21" s="143" t="s">
        <v>34</v>
      </c>
      <c r="K21" s="138">
        <v>25</v>
      </c>
      <c r="L21" s="139"/>
      <c r="M21" s="140">
        <v>37</v>
      </c>
      <c r="N21" s="133">
        <f t="shared" si="0"/>
        <v>925</v>
      </c>
      <c r="O21" s="134" t="s">
        <v>24</v>
      </c>
      <c r="P21" s="135" t="s">
        <v>25</v>
      </c>
      <c r="Q21" s="135"/>
      <c r="R21" s="135" t="s">
        <v>26</v>
      </c>
    </row>
    <row r="22" spans="1:18" ht="30" hidden="1" customHeight="1">
      <c r="A22" s="7">
        <v>20</v>
      </c>
      <c r="B22" s="107" t="s">
        <v>19</v>
      </c>
      <c r="C22" s="58">
        <v>46107</v>
      </c>
      <c r="D22" s="58" t="s">
        <v>27</v>
      </c>
      <c r="E22" s="58"/>
      <c r="F22" s="58"/>
      <c r="G22" s="108">
        <v>4370096526</v>
      </c>
      <c r="H22" s="109" t="s">
        <v>77</v>
      </c>
      <c r="I22" s="129" t="s">
        <v>78</v>
      </c>
      <c r="J22" s="130" t="s">
        <v>42</v>
      </c>
      <c r="K22" s="130">
        <v>15</v>
      </c>
      <c r="L22" s="131"/>
      <c r="M22" s="132">
        <v>60</v>
      </c>
      <c r="N22" s="133">
        <f t="shared" si="0"/>
        <v>900</v>
      </c>
      <c r="O22" s="134" t="s">
        <v>24</v>
      </c>
      <c r="P22" s="135" t="s">
        <v>25</v>
      </c>
      <c r="Q22" s="135"/>
      <c r="R22" s="135" t="s">
        <v>26</v>
      </c>
    </row>
    <row r="23" spans="1:18" ht="30" hidden="1" customHeight="1">
      <c r="A23" s="7">
        <v>21</v>
      </c>
      <c r="B23" s="107" t="s">
        <v>19</v>
      </c>
      <c r="C23" s="58">
        <v>46097</v>
      </c>
      <c r="D23" s="58" t="s">
        <v>27</v>
      </c>
      <c r="E23" s="58" t="s">
        <v>19</v>
      </c>
      <c r="F23" s="28" t="s">
        <v>79</v>
      </c>
      <c r="G23" s="108">
        <v>4370096526</v>
      </c>
      <c r="H23" s="109" t="s">
        <v>80</v>
      </c>
      <c r="I23" s="129" t="s">
        <v>81</v>
      </c>
      <c r="J23" s="130" t="s">
        <v>66</v>
      </c>
      <c r="K23" s="130">
        <v>8</v>
      </c>
      <c r="L23" s="131"/>
      <c r="M23" s="132">
        <v>106</v>
      </c>
      <c r="N23" s="133">
        <f t="shared" si="0"/>
        <v>848</v>
      </c>
      <c r="O23" s="134" t="s">
        <v>24</v>
      </c>
      <c r="P23" s="135" t="s">
        <v>25</v>
      </c>
      <c r="Q23" s="135"/>
      <c r="R23" s="135" t="s">
        <v>26</v>
      </c>
    </row>
    <row r="24" spans="1:18" ht="30" hidden="1" customHeight="1">
      <c r="A24" s="7">
        <v>22</v>
      </c>
      <c r="B24" s="107" t="s">
        <v>19</v>
      </c>
      <c r="C24" s="58">
        <v>46092</v>
      </c>
      <c r="D24" s="58" t="s">
        <v>27</v>
      </c>
      <c r="E24" s="58"/>
      <c r="F24" s="58"/>
      <c r="G24" s="108">
        <v>4370096526</v>
      </c>
      <c r="H24" s="109" t="s">
        <v>82</v>
      </c>
      <c r="I24" s="109" t="s">
        <v>83</v>
      </c>
      <c r="J24" s="136" t="s">
        <v>66</v>
      </c>
      <c r="K24" s="136">
        <v>15</v>
      </c>
      <c r="L24" s="137"/>
      <c r="M24" s="133">
        <v>41</v>
      </c>
      <c r="N24" s="133">
        <f t="shared" si="0"/>
        <v>615</v>
      </c>
      <c r="O24" s="134" t="s">
        <v>24</v>
      </c>
      <c r="P24" s="135" t="s">
        <v>25</v>
      </c>
      <c r="Q24" s="135"/>
      <c r="R24" s="135" t="s">
        <v>26</v>
      </c>
    </row>
    <row r="25" spans="1:18" ht="30" hidden="1" customHeight="1">
      <c r="A25" s="7">
        <v>23</v>
      </c>
      <c r="B25" s="107" t="s">
        <v>19</v>
      </c>
      <c r="C25" s="58">
        <v>46092</v>
      </c>
      <c r="D25" s="58" t="s">
        <v>27</v>
      </c>
      <c r="E25" s="58"/>
      <c r="F25" s="58"/>
      <c r="G25" s="108">
        <v>4370096526</v>
      </c>
      <c r="H25" s="109" t="s">
        <v>84</v>
      </c>
      <c r="I25" s="109" t="s">
        <v>83</v>
      </c>
      <c r="J25" s="136" t="s">
        <v>66</v>
      </c>
      <c r="K25" s="136">
        <v>15</v>
      </c>
      <c r="L25" s="137"/>
      <c r="M25" s="133">
        <v>41</v>
      </c>
      <c r="N25" s="133">
        <f t="shared" si="0"/>
        <v>615</v>
      </c>
      <c r="O25" s="134" t="s">
        <v>24</v>
      </c>
      <c r="P25" s="135" t="s">
        <v>25</v>
      </c>
      <c r="Q25" s="135"/>
      <c r="R25" s="135" t="s">
        <v>26</v>
      </c>
    </row>
    <row r="26" spans="1:18" ht="30" hidden="1" customHeight="1">
      <c r="A26" s="7">
        <v>24</v>
      </c>
      <c r="B26" s="107" t="s">
        <v>19</v>
      </c>
      <c r="C26" s="58">
        <v>46094</v>
      </c>
      <c r="D26" s="58" t="s">
        <v>27</v>
      </c>
      <c r="E26" s="58"/>
      <c r="F26" s="58"/>
      <c r="G26" s="108">
        <v>4370096526</v>
      </c>
      <c r="H26" s="109" t="s">
        <v>85</v>
      </c>
      <c r="I26" s="129"/>
      <c r="J26" s="144" t="s">
        <v>66</v>
      </c>
      <c r="K26" s="130">
        <v>20</v>
      </c>
      <c r="L26" s="131"/>
      <c r="M26" s="132">
        <v>29</v>
      </c>
      <c r="N26" s="133">
        <f t="shared" si="0"/>
        <v>580</v>
      </c>
      <c r="O26" s="134" t="s">
        <v>24</v>
      </c>
      <c r="P26" s="135" t="s">
        <v>25</v>
      </c>
      <c r="Q26" s="135"/>
      <c r="R26" s="135" t="s">
        <v>26</v>
      </c>
    </row>
    <row r="27" spans="1:18" ht="30" hidden="1" customHeight="1">
      <c r="A27" s="7">
        <v>25</v>
      </c>
      <c r="B27" s="107" t="s">
        <v>19</v>
      </c>
      <c r="C27" s="58">
        <v>46092</v>
      </c>
      <c r="D27" s="58" t="s">
        <v>27</v>
      </c>
      <c r="E27" s="58"/>
      <c r="F27" s="58"/>
      <c r="G27" s="108">
        <v>4370096526</v>
      </c>
      <c r="H27" s="109" t="s">
        <v>32</v>
      </c>
      <c r="I27" s="109" t="s">
        <v>86</v>
      </c>
      <c r="J27" s="136" t="s">
        <v>34</v>
      </c>
      <c r="K27" s="136">
        <v>10</v>
      </c>
      <c r="L27" s="137"/>
      <c r="M27" s="133">
        <v>55</v>
      </c>
      <c r="N27" s="132">
        <f t="shared" si="0"/>
        <v>550</v>
      </c>
      <c r="O27" s="134" t="s">
        <v>24</v>
      </c>
      <c r="P27" s="135" t="s">
        <v>25</v>
      </c>
      <c r="Q27" s="135"/>
      <c r="R27" s="135" t="s">
        <v>26</v>
      </c>
    </row>
    <row r="28" spans="1:18" ht="30" hidden="1" customHeight="1">
      <c r="A28" s="7">
        <v>26</v>
      </c>
      <c r="B28" s="107" t="s">
        <v>19</v>
      </c>
      <c r="C28" s="58">
        <v>46094</v>
      </c>
      <c r="D28" s="58" t="s">
        <v>27</v>
      </c>
      <c r="E28" s="58"/>
      <c r="F28" s="58"/>
      <c r="G28" s="108">
        <v>4370096526</v>
      </c>
      <c r="H28" s="118" t="s">
        <v>87</v>
      </c>
      <c r="I28" s="113" t="s">
        <v>88</v>
      </c>
      <c r="J28" s="143" t="s">
        <v>42</v>
      </c>
      <c r="K28" s="138">
        <v>5</v>
      </c>
      <c r="L28" s="139"/>
      <c r="M28" s="140">
        <v>108</v>
      </c>
      <c r="N28" s="133">
        <f t="shared" si="0"/>
        <v>540</v>
      </c>
      <c r="O28" s="134" t="s">
        <v>24</v>
      </c>
      <c r="P28" s="135" t="s">
        <v>25</v>
      </c>
      <c r="Q28" s="135"/>
      <c r="R28" s="135" t="s">
        <v>26</v>
      </c>
    </row>
    <row r="29" spans="1:18" ht="30" hidden="1" customHeight="1">
      <c r="A29" s="7">
        <v>27</v>
      </c>
      <c r="B29" s="107" t="s">
        <v>19</v>
      </c>
      <c r="C29" s="58">
        <v>46091</v>
      </c>
      <c r="D29" s="58" t="s">
        <v>27</v>
      </c>
      <c r="E29" s="58"/>
      <c r="F29" s="58"/>
      <c r="G29" s="108">
        <v>4370096526</v>
      </c>
      <c r="H29" s="118" t="s">
        <v>89</v>
      </c>
      <c r="I29" s="118" t="s">
        <v>90</v>
      </c>
      <c r="J29" s="145" t="s">
        <v>42</v>
      </c>
      <c r="K29" s="145">
        <v>10</v>
      </c>
      <c r="L29" s="146"/>
      <c r="M29" s="147">
        <v>53</v>
      </c>
      <c r="N29" s="133">
        <f t="shared" si="0"/>
        <v>530</v>
      </c>
      <c r="O29" s="134" t="s">
        <v>24</v>
      </c>
      <c r="P29" s="135" t="s">
        <v>25</v>
      </c>
      <c r="Q29" s="135"/>
      <c r="R29" s="135" t="s">
        <v>26</v>
      </c>
    </row>
    <row r="30" spans="1:18" ht="30" hidden="1" customHeight="1">
      <c r="A30" s="7">
        <v>28</v>
      </c>
      <c r="B30" s="107" t="s">
        <v>19</v>
      </c>
      <c r="C30" s="58">
        <v>46091</v>
      </c>
      <c r="D30" s="58" t="s">
        <v>27</v>
      </c>
      <c r="E30" s="58"/>
      <c r="F30" s="58"/>
      <c r="G30" s="108">
        <v>4370096526</v>
      </c>
      <c r="H30" s="113" t="s">
        <v>91</v>
      </c>
      <c r="I30" s="142"/>
      <c r="J30" s="138" t="s">
        <v>34</v>
      </c>
      <c r="K30" s="138">
        <v>1</v>
      </c>
      <c r="L30" s="139"/>
      <c r="M30" s="140">
        <v>119</v>
      </c>
      <c r="N30" s="133">
        <f t="shared" si="0"/>
        <v>119</v>
      </c>
      <c r="O30" s="134" t="s">
        <v>24</v>
      </c>
      <c r="P30" s="135" t="s">
        <v>25</v>
      </c>
      <c r="Q30" s="135"/>
      <c r="R30" s="135" t="s">
        <v>26</v>
      </c>
    </row>
    <row r="31" spans="1:18" ht="30" customHeight="1">
      <c r="A31" s="7">
        <v>29</v>
      </c>
      <c r="B31" s="107" t="s">
        <v>19</v>
      </c>
      <c r="C31" s="26" t="s">
        <v>92</v>
      </c>
      <c r="D31" s="12" t="s">
        <v>93</v>
      </c>
      <c r="E31" s="41" t="s">
        <v>19</v>
      </c>
      <c r="F31" s="12" t="s">
        <v>94</v>
      </c>
      <c r="G31" s="59" t="s">
        <v>95</v>
      </c>
      <c r="H31" s="119" t="s">
        <v>96</v>
      </c>
      <c r="I31" s="148" t="s">
        <v>97</v>
      </c>
      <c r="J31" s="149" t="s">
        <v>46</v>
      </c>
      <c r="K31" s="149">
        <v>20</v>
      </c>
      <c r="L31" s="150"/>
      <c r="M31" s="151">
        <v>12000</v>
      </c>
      <c r="N31" s="152">
        <f t="shared" si="0"/>
        <v>240000</v>
      </c>
      <c r="O31" s="153" t="s">
        <v>98</v>
      </c>
      <c r="P31" s="154" t="s">
        <v>99</v>
      </c>
      <c r="Q31" s="163" t="s">
        <v>100</v>
      </c>
      <c r="R31" s="135" t="s">
        <v>26</v>
      </c>
    </row>
    <row r="32" spans="1:18" ht="30" hidden="1" customHeight="1">
      <c r="A32" s="7">
        <v>30</v>
      </c>
      <c r="B32" s="107" t="s">
        <v>19</v>
      </c>
      <c r="C32" s="120">
        <v>46105</v>
      </c>
      <c r="D32" s="58" t="s">
        <v>27</v>
      </c>
      <c r="E32" s="58" t="s">
        <v>19</v>
      </c>
      <c r="F32" s="120">
        <v>46102</v>
      </c>
      <c r="G32" s="72"/>
      <c r="H32" s="121" t="s">
        <v>101</v>
      </c>
      <c r="I32" s="124" t="s">
        <v>102</v>
      </c>
      <c r="J32" s="155" t="s">
        <v>66</v>
      </c>
      <c r="K32" s="149">
        <v>35</v>
      </c>
      <c r="L32" s="156"/>
      <c r="M32" s="157">
        <v>6000</v>
      </c>
      <c r="N32" s="133">
        <f t="shared" si="0"/>
        <v>210000</v>
      </c>
      <c r="O32" s="129" t="s">
        <v>103</v>
      </c>
      <c r="P32" s="154" t="s">
        <v>99</v>
      </c>
      <c r="Q32" s="154" t="s">
        <v>104</v>
      </c>
      <c r="R32" s="135" t="s">
        <v>26</v>
      </c>
    </row>
    <row r="33" spans="1:18" ht="30" hidden="1" customHeight="1">
      <c r="A33" s="7">
        <v>31</v>
      </c>
      <c r="B33" s="107" t="s">
        <v>19</v>
      </c>
      <c r="C33" s="111" t="s">
        <v>105</v>
      </c>
      <c r="D33" s="58" t="s">
        <v>27</v>
      </c>
      <c r="E33" s="58" t="s">
        <v>19</v>
      </c>
      <c r="F33" s="58">
        <v>46121</v>
      </c>
      <c r="G33" s="108"/>
      <c r="H33" s="109" t="s">
        <v>106</v>
      </c>
      <c r="I33" s="158"/>
      <c r="J33" s="136" t="s">
        <v>34</v>
      </c>
      <c r="K33" s="136">
        <v>200</v>
      </c>
      <c r="L33" s="137"/>
      <c r="M33" s="133">
        <v>450</v>
      </c>
      <c r="N33" s="133">
        <f t="shared" si="0"/>
        <v>90000</v>
      </c>
      <c r="O33" s="153" t="s">
        <v>98</v>
      </c>
      <c r="P33" s="154" t="s">
        <v>99</v>
      </c>
      <c r="Q33" s="154"/>
      <c r="R33" s="135" t="s">
        <v>26</v>
      </c>
    </row>
    <row r="34" spans="1:18" ht="30" hidden="1" customHeight="1">
      <c r="A34" s="7">
        <v>32</v>
      </c>
      <c r="B34" s="107" t="s">
        <v>19</v>
      </c>
      <c r="C34" s="12">
        <v>46083</v>
      </c>
      <c r="D34" s="12" t="s">
        <v>93</v>
      </c>
      <c r="E34" s="12"/>
      <c r="F34" s="12"/>
      <c r="G34" s="59"/>
      <c r="H34" s="119" t="s">
        <v>107</v>
      </c>
      <c r="I34" s="119" t="s">
        <v>108</v>
      </c>
      <c r="J34" s="155" t="s">
        <v>66</v>
      </c>
      <c r="K34" s="155">
        <v>15</v>
      </c>
      <c r="L34" s="137"/>
      <c r="M34" s="159">
        <v>5493</v>
      </c>
      <c r="N34" s="133">
        <f t="shared" si="0"/>
        <v>82395</v>
      </c>
      <c r="O34" s="129" t="s">
        <v>103</v>
      </c>
      <c r="P34" s="154" t="s">
        <v>99</v>
      </c>
      <c r="Q34" s="154"/>
      <c r="R34" s="135" t="s">
        <v>26</v>
      </c>
    </row>
    <row r="35" spans="1:18" ht="30" hidden="1" customHeight="1">
      <c r="A35" s="7">
        <v>33</v>
      </c>
      <c r="B35" s="107" t="s">
        <v>19</v>
      </c>
      <c r="C35" s="26" t="s">
        <v>109</v>
      </c>
      <c r="D35" s="26" t="s">
        <v>110</v>
      </c>
      <c r="E35" s="26"/>
      <c r="F35" s="26"/>
      <c r="G35" s="59"/>
      <c r="H35" s="119" t="s">
        <v>111</v>
      </c>
      <c r="I35" s="160" t="s">
        <v>112</v>
      </c>
      <c r="J35" s="155" t="s">
        <v>46</v>
      </c>
      <c r="K35" s="155">
        <v>3</v>
      </c>
      <c r="L35" s="156"/>
      <c r="M35" s="157">
        <v>10200</v>
      </c>
      <c r="N35" s="133">
        <f t="shared" si="0"/>
        <v>30600</v>
      </c>
      <c r="O35" s="129" t="s">
        <v>103</v>
      </c>
      <c r="P35" s="154" t="s">
        <v>99</v>
      </c>
      <c r="Q35" s="154"/>
      <c r="R35" s="135" t="s">
        <v>26</v>
      </c>
    </row>
    <row r="36" spans="1:18" ht="30" hidden="1" customHeight="1">
      <c r="A36" s="7">
        <v>34</v>
      </c>
      <c r="B36" s="107" t="s">
        <v>19</v>
      </c>
      <c r="C36" s="58">
        <v>46085</v>
      </c>
      <c r="D36" s="58" t="s">
        <v>27</v>
      </c>
      <c r="E36" s="58"/>
      <c r="F36" s="58"/>
      <c r="G36" s="108"/>
      <c r="H36" s="122" t="s">
        <v>113</v>
      </c>
      <c r="I36" s="161" t="s">
        <v>114</v>
      </c>
      <c r="J36" s="155" t="s">
        <v>115</v>
      </c>
      <c r="K36" s="155">
        <v>300</v>
      </c>
      <c r="L36" s="137"/>
      <c r="M36" s="133">
        <v>150</v>
      </c>
      <c r="N36" s="133">
        <f t="shared" si="0"/>
        <v>45000</v>
      </c>
      <c r="O36" s="129" t="s">
        <v>103</v>
      </c>
      <c r="P36" s="154" t="s">
        <v>99</v>
      </c>
      <c r="Q36" s="154"/>
      <c r="R36" s="135" t="s">
        <v>26</v>
      </c>
    </row>
    <row r="37" spans="1:18" ht="30" hidden="1" customHeight="1">
      <c r="A37" s="7">
        <v>35</v>
      </c>
      <c r="B37" s="107" t="s">
        <v>19</v>
      </c>
      <c r="C37" s="58">
        <v>46085</v>
      </c>
      <c r="D37" s="58" t="s">
        <v>116</v>
      </c>
      <c r="E37" s="58"/>
      <c r="F37" s="58"/>
      <c r="G37" s="108"/>
      <c r="H37" s="122" t="s">
        <v>117</v>
      </c>
      <c r="I37" s="161" t="s">
        <v>118</v>
      </c>
      <c r="J37" s="155" t="s">
        <v>119</v>
      </c>
      <c r="K37" s="155">
        <v>300</v>
      </c>
      <c r="L37" s="137"/>
      <c r="M37" s="133">
        <v>130</v>
      </c>
      <c r="N37" s="133">
        <f t="shared" si="0"/>
        <v>39000</v>
      </c>
      <c r="O37" s="129" t="s">
        <v>103</v>
      </c>
      <c r="P37" s="154" t="s">
        <v>99</v>
      </c>
      <c r="Q37" s="154"/>
      <c r="R37" s="135" t="s">
        <v>26</v>
      </c>
    </row>
    <row r="38" spans="1:18" ht="30" hidden="1" customHeight="1">
      <c r="A38" s="7">
        <v>36</v>
      </c>
      <c r="B38" s="107" t="s">
        <v>19</v>
      </c>
      <c r="C38" s="58">
        <v>46099</v>
      </c>
      <c r="D38" s="58" t="s">
        <v>120</v>
      </c>
      <c r="E38" s="58" t="s">
        <v>19</v>
      </c>
      <c r="F38" s="28" t="s">
        <v>121</v>
      </c>
      <c r="G38" s="108"/>
      <c r="H38" s="122" t="s">
        <v>122</v>
      </c>
      <c r="I38" s="119" t="s">
        <v>123</v>
      </c>
      <c r="J38" s="155" t="s">
        <v>46</v>
      </c>
      <c r="K38" s="149">
        <v>10</v>
      </c>
      <c r="L38" s="137"/>
      <c r="M38" s="133">
        <v>3500</v>
      </c>
      <c r="N38" s="133">
        <f t="shared" si="0"/>
        <v>35000</v>
      </c>
      <c r="O38" s="129" t="s">
        <v>103</v>
      </c>
      <c r="P38" s="154" t="s">
        <v>99</v>
      </c>
      <c r="Q38" s="154"/>
      <c r="R38" s="135" t="s">
        <v>26</v>
      </c>
    </row>
    <row r="39" spans="1:18" ht="30" hidden="1" customHeight="1">
      <c r="A39" s="7">
        <v>37</v>
      </c>
      <c r="B39" s="107" t="s">
        <v>19</v>
      </c>
      <c r="C39" s="58">
        <v>46092</v>
      </c>
      <c r="D39" s="58" t="s">
        <v>27</v>
      </c>
      <c r="E39" s="58"/>
      <c r="F39" s="58"/>
      <c r="G39" s="108"/>
      <c r="H39" s="109" t="s">
        <v>28</v>
      </c>
      <c r="I39" s="129" t="s">
        <v>29</v>
      </c>
      <c r="J39" s="130" t="s">
        <v>30</v>
      </c>
      <c r="K39" s="130">
        <v>50</v>
      </c>
      <c r="L39" s="131"/>
      <c r="M39" s="132">
        <v>656</v>
      </c>
      <c r="N39" s="133">
        <f t="shared" si="0"/>
        <v>32800</v>
      </c>
      <c r="O39" s="129" t="s">
        <v>103</v>
      </c>
      <c r="P39" s="154" t="s">
        <v>99</v>
      </c>
      <c r="Q39" s="154"/>
      <c r="R39" s="135" t="s">
        <v>26</v>
      </c>
    </row>
    <row r="40" spans="1:18" ht="30" hidden="1" customHeight="1">
      <c r="A40" s="7">
        <v>38</v>
      </c>
      <c r="B40" s="107" t="s">
        <v>19</v>
      </c>
      <c r="C40" s="120">
        <v>46105</v>
      </c>
      <c r="D40" s="58" t="s">
        <v>27</v>
      </c>
      <c r="E40" s="58" t="s">
        <v>19</v>
      </c>
      <c r="F40" s="120">
        <v>46102</v>
      </c>
      <c r="G40" s="72"/>
      <c r="H40" s="121" t="s">
        <v>101</v>
      </c>
      <c r="I40" s="124" t="s">
        <v>124</v>
      </c>
      <c r="J40" s="155" t="s">
        <v>66</v>
      </c>
      <c r="K40" s="149">
        <v>5</v>
      </c>
      <c r="L40" s="156"/>
      <c r="M40" s="157">
        <v>6500</v>
      </c>
      <c r="N40" s="133">
        <f t="shared" si="0"/>
        <v>32500</v>
      </c>
      <c r="O40" s="129" t="s">
        <v>103</v>
      </c>
      <c r="P40" s="154" t="s">
        <v>99</v>
      </c>
      <c r="Q40" s="154"/>
      <c r="R40" s="135" t="s">
        <v>26</v>
      </c>
    </row>
    <row r="41" spans="1:18" ht="30" hidden="1" customHeight="1">
      <c r="A41" s="7">
        <v>39</v>
      </c>
      <c r="B41" s="107" t="s">
        <v>19</v>
      </c>
      <c r="C41" s="58">
        <v>46083</v>
      </c>
      <c r="D41" s="58" t="s">
        <v>61</v>
      </c>
      <c r="E41" s="58"/>
      <c r="F41" s="58"/>
      <c r="G41" s="108"/>
      <c r="H41" s="73" t="s">
        <v>125</v>
      </c>
      <c r="I41" s="119"/>
      <c r="J41" s="155" t="s">
        <v>23</v>
      </c>
      <c r="K41" s="155">
        <v>15</v>
      </c>
      <c r="L41" s="131"/>
      <c r="M41" s="132">
        <v>1900</v>
      </c>
      <c r="N41" s="133">
        <f t="shared" si="0"/>
        <v>28500</v>
      </c>
      <c r="O41" s="129" t="s">
        <v>103</v>
      </c>
      <c r="P41" s="154" t="s">
        <v>99</v>
      </c>
      <c r="Q41" s="154"/>
      <c r="R41" s="135" t="s">
        <v>26</v>
      </c>
    </row>
    <row r="42" spans="1:18" ht="30" hidden="1" customHeight="1">
      <c r="A42" s="7">
        <v>40</v>
      </c>
      <c r="B42" s="107" t="s">
        <v>19</v>
      </c>
      <c r="C42" s="58">
        <v>46083</v>
      </c>
      <c r="D42" s="12" t="s">
        <v>93</v>
      </c>
      <c r="E42" s="12"/>
      <c r="F42" s="12"/>
      <c r="G42" s="59"/>
      <c r="H42" s="119" t="s">
        <v>126</v>
      </c>
      <c r="I42" s="119" t="s">
        <v>127</v>
      </c>
      <c r="J42" s="155" t="s">
        <v>128</v>
      </c>
      <c r="K42" s="155">
        <v>500</v>
      </c>
      <c r="L42" s="156"/>
      <c r="M42" s="157">
        <v>50</v>
      </c>
      <c r="N42" s="133">
        <f t="shared" si="0"/>
        <v>25000</v>
      </c>
      <c r="O42" s="29" t="s">
        <v>129</v>
      </c>
      <c r="P42" s="154" t="s">
        <v>99</v>
      </c>
      <c r="Q42" s="154"/>
      <c r="R42" s="135" t="s">
        <v>26</v>
      </c>
    </row>
    <row r="43" spans="1:18" ht="30" hidden="1" customHeight="1">
      <c r="A43" s="7">
        <v>41</v>
      </c>
      <c r="B43" s="107" t="s">
        <v>19</v>
      </c>
      <c r="C43" s="58">
        <v>46084</v>
      </c>
      <c r="D43" s="58" t="s">
        <v>44</v>
      </c>
      <c r="E43" s="58"/>
      <c r="F43" s="58"/>
      <c r="G43" s="108"/>
      <c r="H43" s="109" t="s">
        <v>45</v>
      </c>
      <c r="I43" s="109"/>
      <c r="J43" s="136" t="s">
        <v>46</v>
      </c>
      <c r="K43" s="136">
        <v>2</v>
      </c>
      <c r="L43" s="137"/>
      <c r="M43" s="133">
        <v>11170</v>
      </c>
      <c r="N43" s="133">
        <f t="shared" si="0"/>
        <v>22340</v>
      </c>
      <c r="O43" s="129" t="s">
        <v>103</v>
      </c>
      <c r="P43" s="154" t="s">
        <v>99</v>
      </c>
      <c r="Q43" s="154"/>
      <c r="R43" s="135" t="s">
        <v>26</v>
      </c>
    </row>
    <row r="44" spans="1:18" ht="30" hidden="1" customHeight="1">
      <c r="A44" s="7">
        <v>42</v>
      </c>
      <c r="B44" s="107" t="s">
        <v>19</v>
      </c>
      <c r="C44" s="58">
        <v>46104</v>
      </c>
      <c r="D44" s="58" t="s">
        <v>27</v>
      </c>
      <c r="E44" s="58"/>
      <c r="F44" s="58"/>
      <c r="G44" s="108"/>
      <c r="H44" s="116" t="s">
        <v>130</v>
      </c>
      <c r="I44" s="119"/>
      <c r="J44" s="155" t="s">
        <v>46</v>
      </c>
      <c r="K44" s="155">
        <v>2</v>
      </c>
      <c r="L44" s="137"/>
      <c r="M44" s="133">
        <v>11000</v>
      </c>
      <c r="N44" s="133">
        <f t="shared" si="0"/>
        <v>22000</v>
      </c>
      <c r="O44" s="129" t="s">
        <v>103</v>
      </c>
      <c r="P44" s="154" t="s">
        <v>99</v>
      </c>
      <c r="Q44" s="154"/>
      <c r="R44" s="135" t="s">
        <v>26</v>
      </c>
    </row>
    <row r="45" spans="1:18" ht="30" hidden="1" customHeight="1">
      <c r="A45" s="7">
        <v>43</v>
      </c>
      <c r="B45" s="107" t="s">
        <v>19</v>
      </c>
      <c r="C45" s="58">
        <v>46083</v>
      </c>
      <c r="D45" s="12" t="s">
        <v>93</v>
      </c>
      <c r="E45" s="58"/>
      <c r="F45" s="58"/>
      <c r="G45" s="108"/>
      <c r="H45" s="119" t="s">
        <v>131</v>
      </c>
      <c r="I45" s="119" t="s">
        <v>132</v>
      </c>
      <c r="J45" s="155" t="s">
        <v>66</v>
      </c>
      <c r="K45" s="155">
        <v>20</v>
      </c>
      <c r="L45" s="131"/>
      <c r="M45" s="132">
        <v>994</v>
      </c>
      <c r="N45" s="133">
        <f t="shared" si="0"/>
        <v>19880</v>
      </c>
      <c r="O45" s="129" t="s">
        <v>103</v>
      </c>
      <c r="P45" s="154" t="s">
        <v>99</v>
      </c>
      <c r="Q45" s="154"/>
      <c r="R45" s="135" t="s">
        <v>26</v>
      </c>
    </row>
    <row r="46" spans="1:18" ht="30" hidden="1" customHeight="1">
      <c r="A46" s="7">
        <v>44</v>
      </c>
      <c r="B46" s="107" t="s">
        <v>19</v>
      </c>
      <c r="C46" s="58">
        <v>46094</v>
      </c>
      <c r="D46" s="58" t="s">
        <v>39</v>
      </c>
      <c r="E46" s="58"/>
      <c r="F46" s="58"/>
      <c r="G46" s="108"/>
      <c r="H46" s="112" t="s">
        <v>40</v>
      </c>
      <c r="I46" s="153" t="s">
        <v>133</v>
      </c>
      <c r="J46" s="130" t="s">
        <v>42</v>
      </c>
      <c r="K46" s="130">
        <v>200</v>
      </c>
      <c r="L46" s="131"/>
      <c r="M46" s="132">
        <v>99</v>
      </c>
      <c r="N46" s="133">
        <f t="shared" si="0"/>
        <v>19800</v>
      </c>
      <c r="O46" s="129" t="s">
        <v>103</v>
      </c>
      <c r="P46" s="154" t="s">
        <v>99</v>
      </c>
      <c r="Q46" s="154"/>
      <c r="R46" s="135" t="s">
        <v>26</v>
      </c>
    </row>
    <row r="47" spans="1:18" ht="30" hidden="1" customHeight="1">
      <c r="A47" s="7">
        <v>45</v>
      </c>
      <c r="B47" s="107" t="s">
        <v>19</v>
      </c>
      <c r="C47" s="58">
        <v>46094</v>
      </c>
      <c r="D47" s="58" t="s">
        <v>27</v>
      </c>
      <c r="E47" s="58"/>
      <c r="F47" s="58"/>
      <c r="G47" s="108"/>
      <c r="H47" s="119" t="s">
        <v>134</v>
      </c>
      <c r="I47" s="119" t="s">
        <v>135</v>
      </c>
      <c r="J47" s="155" t="s">
        <v>46</v>
      </c>
      <c r="K47" s="155">
        <v>1</v>
      </c>
      <c r="L47" s="131"/>
      <c r="M47" s="132">
        <v>19500</v>
      </c>
      <c r="N47" s="133">
        <f t="shared" si="0"/>
        <v>19500</v>
      </c>
      <c r="O47" s="129" t="s">
        <v>103</v>
      </c>
      <c r="P47" s="154" t="s">
        <v>99</v>
      </c>
      <c r="Q47" s="154"/>
      <c r="R47" s="135" t="s">
        <v>26</v>
      </c>
    </row>
    <row r="48" spans="1:18" ht="30" hidden="1" customHeight="1">
      <c r="A48" s="7">
        <v>46</v>
      </c>
      <c r="B48" s="107" t="s">
        <v>19</v>
      </c>
      <c r="C48" s="58">
        <v>46083</v>
      </c>
      <c r="D48" s="58" t="s">
        <v>93</v>
      </c>
      <c r="E48" s="58"/>
      <c r="F48" s="58"/>
      <c r="G48" s="108"/>
      <c r="H48" s="122" t="s">
        <v>136</v>
      </c>
      <c r="I48" s="119" t="s">
        <v>137</v>
      </c>
      <c r="J48" s="155" t="s">
        <v>66</v>
      </c>
      <c r="K48" s="155">
        <v>3</v>
      </c>
      <c r="L48" s="156"/>
      <c r="M48" s="157">
        <v>6500</v>
      </c>
      <c r="N48" s="133">
        <f t="shared" si="0"/>
        <v>19500</v>
      </c>
      <c r="O48" s="129" t="s">
        <v>103</v>
      </c>
      <c r="P48" s="154" t="s">
        <v>99</v>
      </c>
      <c r="Q48" s="154"/>
      <c r="R48" s="135" t="s">
        <v>26</v>
      </c>
    </row>
    <row r="49" spans="1:18" ht="30" hidden="1" customHeight="1">
      <c r="A49" s="7">
        <v>47</v>
      </c>
      <c r="B49" s="107" t="s">
        <v>19</v>
      </c>
      <c r="C49" s="58">
        <v>46097</v>
      </c>
      <c r="D49" s="58" t="s">
        <v>27</v>
      </c>
      <c r="E49" s="58" t="s">
        <v>19</v>
      </c>
      <c r="F49" s="58" t="s">
        <v>36</v>
      </c>
      <c r="G49" s="108"/>
      <c r="H49" s="112" t="s">
        <v>37</v>
      </c>
      <c r="I49" s="129" t="s">
        <v>38</v>
      </c>
      <c r="J49" s="130" t="s">
        <v>34</v>
      </c>
      <c r="K49" s="130">
        <v>40</v>
      </c>
      <c r="L49" s="131"/>
      <c r="M49" s="132">
        <v>437</v>
      </c>
      <c r="N49" s="133">
        <f t="shared" si="0"/>
        <v>17480</v>
      </c>
      <c r="O49" s="129" t="s">
        <v>103</v>
      </c>
      <c r="P49" s="154" t="s">
        <v>99</v>
      </c>
      <c r="Q49" s="154"/>
      <c r="R49" s="135" t="s">
        <v>26</v>
      </c>
    </row>
    <row r="50" spans="1:18" ht="30" hidden="1" customHeight="1">
      <c r="A50" s="7">
        <v>48</v>
      </c>
      <c r="B50" s="107" t="s">
        <v>19</v>
      </c>
      <c r="C50" s="58">
        <v>46083</v>
      </c>
      <c r="D50" s="12" t="s">
        <v>93</v>
      </c>
      <c r="E50" s="58"/>
      <c r="F50" s="58"/>
      <c r="G50" s="108"/>
      <c r="H50" s="123" t="s">
        <v>138</v>
      </c>
      <c r="I50" s="112" t="s">
        <v>108</v>
      </c>
      <c r="J50" s="136" t="s">
        <v>66</v>
      </c>
      <c r="K50" s="136">
        <v>3</v>
      </c>
      <c r="L50" s="137"/>
      <c r="M50" s="133">
        <v>5493</v>
      </c>
      <c r="N50" s="133">
        <f t="shared" si="0"/>
        <v>16479</v>
      </c>
      <c r="O50" s="129" t="s">
        <v>103</v>
      </c>
      <c r="P50" s="154" t="s">
        <v>99</v>
      </c>
      <c r="Q50" s="154"/>
      <c r="R50" s="135" t="s">
        <v>26</v>
      </c>
    </row>
    <row r="51" spans="1:18" ht="30" hidden="1" customHeight="1">
      <c r="A51" s="7">
        <v>49</v>
      </c>
      <c r="B51" s="107" t="s">
        <v>19</v>
      </c>
      <c r="C51" s="58">
        <v>46101</v>
      </c>
      <c r="D51" s="58" t="s">
        <v>27</v>
      </c>
      <c r="E51" s="58" t="s">
        <v>19</v>
      </c>
      <c r="F51" s="58">
        <v>46101</v>
      </c>
      <c r="G51" s="108"/>
      <c r="H51" s="119" t="s">
        <v>139</v>
      </c>
      <c r="I51" s="119"/>
      <c r="J51" s="155" t="s">
        <v>34</v>
      </c>
      <c r="K51" s="155">
        <v>40</v>
      </c>
      <c r="L51" s="137"/>
      <c r="M51" s="159">
        <v>350</v>
      </c>
      <c r="N51" s="133">
        <f t="shared" si="0"/>
        <v>14000</v>
      </c>
      <c r="O51" s="129" t="s">
        <v>103</v>
      </c>
      <c r="P51" s="154" t="s">
        <v>99</v>
      </c>
      <c r="Q51" s="154"/>
      <c r="R51" s="135" t="s">
        <v>26</v>
      </c>
    </row>
    <row r="52" spans="1:18" ht="30" hidden="1" customHeight="1">
      <c r="A52" s="7">
        <v>50</v>
      </c>
      <c r="B52" s="107" t="s">
        <v>19</v>
      </c>
      <c r="C52" s="58">
        <v>46101</v>
      </c>
      <c r="D52" s="58" t="s">
        <v>27</v>
      </c>
      <c r="E52" s="58" t="s">
        <v>19</v>
      </c>
      <c r="F52" s="58">
        <v>46101</v>
      </c>
      <c r="G52" s="108"/>
      <c r="H52" s="119" t="s">
        <v>140</v>
      </c>
      <c r="I52" s="119"/>
      <c r="J52" s="155" t="s">
        <v>34</v>
      </c>
      <c r="K52" s="155">
        <v>40</v>
      </c>
      <c r="L52" s="137"/>
      <c r="M52" s="133">
        <v>350</v>
      </c>
      <c r="N52" s="133">
        <f t="shared" si="0"/>
        <v>14000</v>
      </c>
      <c r="O52" s="129" t="s">
        <v>103</v>
      </c>
      <c r="P52" s="154" t="s">
        <v>99</v>
      </c>
      <c r="Q52" s="154"/>
      <c r="R52" s="135" t="s">
        <v>26</v>
      </c>
    </row>
    <row r="53" spans="1:18" ht="30" hidden="1" customHeight="1">
      <c r="A53" s="7">
        <v>51</v>
      </c>
      <c r="B53" s="107" t="s">
        <v>19</v>
      </c>
      <c r="C53" s="58">
        <v>46086</v>
      </c>
      <c r="D53" s="58" t="s">
        <v>141</v>
      </c>
      <c r="E53" s="58"/>
      <c r="F53" s="58"/>
      <c r="G53" s="108"/>
      <c r="H53" s="119" t="s">
        <v>142</v>
      </c>
      <c r="I53" s="119"/>
      <c r="J53" s="155" t="s">
        <v>143</v>
      </c>
      <c r="K53" s="155">
        <v>50</v>
      </c>
      <c r="L53" s="156"/>
      <c r="M53" s="157">
        <v>269</v>
      </c>
      <c r="N53" s="133">
        <f t="shared" si="0"/>
        <v>13450</v>
      </c>
      <c r="O53" s="129" t="s">
        <v>103</v>
      </c>
      <c r="P53" s="154" t="s">
        <v>99</v>
      </c>
      <c r="Q53" s="154"/>
      <c r="R53" s="135" t="s">
        <v>26</v>
      </c>
    </row>
    <row r="54" spans="1:18" ht="30" hidden="1" customHeight="1">
      <c r="A54" s="7">
        <v>52</v>
      </c>
      <c r="B54" s="107" t="s">
        <v>19</v>
      </c>
      <c r="C54" s="58">
        <v>46087</v>
      </c>
      <c r="D54" s="58" t="s">
        <v>51</v>
      </c>
      <c r="E54" s="58"/>
      <c r="F54" s="58"/>
      <c r="G54" s="108"/>
      <c r="H54" s="109" t="s">
        <v>52</v>
      </c>
      <c r="I54" s="129" t="s">
        <v>53</v>
      </c>
      <c r="J54" s="130" t="s">
        <v>46</v>
      </c>
      <c r="K54" s="130">
        <v>3</v>
      </c>
      <c r="L54" s="131"/>
      <c r="M54" s="132">
        <v>3750</v>
      </c>
      <c r="N54" s="133">
        <f t="shared" si="0"/>
        <v>11250</v>
      </c>
      <c r="O54" s="129" t="s">
        <v>103</v>
      </c>
      <c r="P54" s="154" t="s">
        <v>99</v>
      </c>
      <c r="Q54" s="154"/>
      <c r="R54" s="135" t="s">
        <v>26</v>
      </c>
    </row>
    <row r="55" spans="1:18" ht="30" hidden="1" customHeight="1">
      <c r="A55" s="7">
        <v>53</v>
      </c>
      <c r="B55" s="107" t="s">
        <v>19</v>
      </c>
      <c r="C55" s="58">
        <v>46085</v>
      </c>
      <c r="D55" s="58" t="s">
        <v>144</v>
      </c>
      <c r="E55" s="58"/>
      <c r="F55" s="58"/>
      <c r="G55" s="108"/>
      <c r="H55" s="119" t="s">
        <v>145</v>
      </c>
      <c r="I55" s="119" t="s">
        <v>146</v>
      </c>
      <c r="J55" s="155" t="s">
        <v>147</v>
      </c>
      <c r="K55" s="155">
        <v>4</v>
      </c>
      <c r="L55" s="131"/>
      <c r="M55" s="132">
        <v>2800</v>
      </c>
      <c r="N55" s="133">
        <f t="shared" si="0"/>
        <v>11200</v>
      </c>
      <c r="O55" s="129" t="s">
        <v>103</v>
      </c>
      <c r="P55" s="154" t="s">
        <v>99</v>
      </c>
      <c r="Q55" s="154"/>
      <c r="R55" s="135" t="s">
        <v>26</v>
      </c>
    </row>
    <row r="56" spans="1:18" ht="30" hidden="1" customHeight="1">
      <c r="A56" s="7">
        <v>54</v>
      </c>
      <c r="B56" s="107" t="s">
        <v>19</v>
      </c>
      <c r="C56" s="28" t="s">
        <v>148</v>
      </c>
      <c r="D56" s="58" t="s">
        <v>27</v>
      </c>
      <c r="E56" s="58"/>
      <c r="F56" s="58"/>
      <c r="G56" s="108"/>
      <c r="H56" s="122" t="s">
        <v>149</v>
      </c>
      <c r="I56" s="161" t="s">
        <v>150</v>
      </c>
      <c r="J56" s="155" t="s">
        <v>151</v>
      </c>
      <c r="K56" s="155">
        <v>180</v>
      </c>
      <c r="L56" s="137"/>
      <c r="M56" s="133">
        <v>55</v>
      </c>
      <c r="N56" s="133">
        <f t="shared" si="0"/>
        <v>9900</v>
      </c>
      <c r="O56" s="129" t="s">
        <v>103</v>
      </c>
      <c r="P56" s="154" t="s">
        <v>99</v>
      </c>
      <c r="Q56" s="154"/>
      <c r="R56" s="135" t="s">
        <v>26</v>
      </c>
    </row>
    <row r="57" spans="1:18" ht="30" hidden="1" customHeight="1">
      <c r="A57" s="7">
        <v>55</v>
      </c>
      <c r="B57" s="107" t="s">
        <v>19</v>
      </c>
      <c r="C57" s="58">
        <v>46090</v>
      </c>
      <c r="D57" s="58" t="s">
        <v>152</v>
      </c>
      <c r="E57" s="58"/>
      <c r="F57" s="58"/>
      <c r="G57" s="108"/>
      <c r="H57" s="124" t="s">
        <v>153</v>
      </c>
      <c r="I57" s="161" t="s">
        <v>154</v>
      </c>
      <c r="J57" s="155" t="s">
        <v>155</v>
      </c>
      <c r="K57" s="155">
        <v>30</v>
      </c>
      <c r="L57" s="156"/>
      <c r="M57" s="157">
        <v>300</v>
      </c>
      <c r="N57" s="133">
        <f t="shared" si="0"/>
        <v>9000</v>
      </c>
      <c r="O57" s="129" t="s">
        <v>103</v>
      </c>
      <c r="P57" s="154" t="s">
        <v>99</v>
      </c>
      <c r="Q57" s="154"/>
      <c r="R57" s="135" t="s">
        <v>26</v>
      </c>
    </row>
    <row r="58" spans="1:18" ht="30" hidden="1" customHeight="1">
      <c r="A58" s="7">
        <v>56</v>
      </c>
      <c r="B58" s="107" t="s">
        <v>156</v>
      </c>
      <c r="C58" s="125" t="s">
        <v>157</v>
      </c>
      <c r="D58" s="58" t="s">
        <v>27</v>
      </c>
      <c r="E58" s="114"/>
      <c r="F58" s="58"/>
      <c r="G58" s="108"/>
      <c r="H58" s="126" t="s">
        <v>57</v>
      </c>
      <c r="I58" s="129" t="s">
        <v>58</v>
      </c>
      <c r="J58" s="130" t="s">
        <v>23</v>
      </c>
      <c r="K58" s="130">
        <v>25</v>
      </c>
      <c r="L58" s="131"/>
      <c r="M58" s="132">
        <v>335</v>
      </c>
      <c r="N58" s="133">
        <f t="shared" si="0"/>
        <v>8375</v>
      </c>
      <c r="O58" s="129" t="s">
        <v>103</v>
      </c>
      <c r="P58" s="154" t="s">
        <v>99</v>
      </c>
      <c r="Q58" s="154"/>
      <c r="R58" s="135" t="s">
        <v>26</v>
      </c>
    </row>
    <row r="59" spans="1:18" ht="30" hidden="1" customHeight="1">
      <c r="A59" s="7">
        <v>57</v>
      </c>
      <c r="B59" s="107" t="s">
        <v>19</v>
      </c>
      <c r="C59" s="58">
        <v>46097</v>
      </c>
      <c r="D59" s="58" t="s">
        <v>27</v>
      </c>
      <c r="E59" s="58"/>
      <c r="F59" s="58"/>
      <c r="G59" s="108"/>
      <c r="H59" s="126" t="s">
        <v>158</v>
      </c>
      <c r="I59" s="162"/>
      <c r="J59" s="136" t="s">
        <v>46</v>
      </c>
      <c r="K59" s="136">
        <v>1</v>
      </c>
      <c r="L59" s="137"/>
      <c r="M59" s="133">
        <v>8287</v>
      </c>
      <c r="N59" s="133">
        <f t="shared" si="0"/>
        <v>8287</v>
      </c>
      <c r="O59" s="129" t="s">
        <v>103</v>
      </c>
      <c r="P59" s="154" t="s">
        <v>99</v>
      </c>
      <c r="Q59" s="154"/>
      <c r="R59" s="135" t="s">
        <v>26</v>
      </c>
    </row>
    <row r="60" spans="1:18" ht="30" hidden="1" customHeight="1">
      <c r="A60" s="7">
        <v>58</v>
      </c>
      <c r="B60" s="107" t="s">
        <v>19</v>
      </c>
      <c r="C60" s="58">
        <v>46097</v>
      </c>
      <c r="D60" s="58" t="s">
        <v>27</v>
      </c>
      <c r="E60" s="58"/>
      <c r="F60" s="58"/>
      <c r="G60" s="108"/>
      <c r="H60" s="126" t="s">
        <v>159</v>
      </c>
      <c r="I60" s="162"/>
      <c r="J60" s="136" t="s">
        <v>46</v>
      </c>
      <c r="K60" s="136">
        <v>1</v>
      </c>
      <c r="L60" s="137"/>
      <c r="M60" s="133">
        <v>0</v>
      </c>
      <c r="N60" s="133">
        <f t="shared" si="0"/>
        <v>0</v>
      </c>
      <c r="O60" s="129" t="s">
        <v>103</v>
      </c>
      <c r="P60" s="154" t="s">
        <v>99</v>
      </c>
      <c r="Q60" s="154"/>
      <c r="R60" s="135" t="s">
        <v>26</v>
      </c>
    </row>
    <row r="61" spans="1:18" ht="30" hidden="1" customHeight="1">
      <c r="A61" s="7">
        <v>59</v>
      </c>
      <c r="B61" s="107" t="s">
        <v>19</v>
      </c>
      <c r="C61" s="58">
        <v>46097</v>
      </c>
      <c r="D61" s="58" t="s">
        <v>27</v>
      </c>
      <c r="E61" s="58"/>
      <c r="F61" s="58"/>
      <c r="G61" s="108"/>
      <c r="H61" s="126" t="s">
        <v>160</v>
      </c>
      <c r="I61" s="162"/>
      <c r="J61" s="136" t="s">
        <v>34</v>
      </c>
      <c r="K61" s="136">
        <v>1</v>
      </c>
      <c r="L61" s="137"/>
      <c r="M61" s="133">
        <v>0</v>
      </c>
      <c r="N61" s="133">
        <f t="shared" si="0"/>
        <v>0</v>
      </c>
      <c r="O61" s="129" t="s">
        <v>103</v>
      </c>
      <c r="P61" s="154" t="s">
        <v>99</v>
      </c>
      <c r="Q61" s="154"/>
      <c r="R61" s="135" t="s">
        <v>26</v>
      </c>
    </row>
    <row r="62" spans="1:18" ht="30" hidden="1" customHeight="1">
      <c r="A62" s="7">
        <v>60</v>
      </c>
      <c r="B62" s="107" t="s">
        <v>19</v>
      </c>
      <c r="C62" s="58">
        <v>46083</v>
      </c>
      <c r="D62" s="58" t="s">
        <v>61</v>
      </c>
      <c r="E62" s="58"/>
      <c r="F62" s="58"/>
      <c r="G62" s="108"/>
      <c r="H62" s="109" t="s">
        <v>62</v>
      </c>
      <c r="I62" s="119"/>
      <c r="J62" s="155" t="s">
        <v>23</v>
      </c>
      <c r="K62" s="155">
        <v>3</v>
      </c>
      <c r="L62" s="137"/>
      <c r="M62" s="133">
        <v>2658</v>
      </c>
      <c r="N62" s="133">
        <f t="shared" si="0"/>
        <v>7974</v>
      </c>
      <c r="O62" s="129" t="s">
        <v>103</v>
      </c>
      <c r="P62" s="154" t="s">
        <v>99</v>
      </c>
      <c r="Q62" s="154"/>
      <c r="R62" s="135" t="s">
        <v>26</v>
      </c>
    </row>
    <row r="63" spans="1:18" ht="30" hidden="1" customHeight="1">
      <c r="A63" s="7">
        <v>61</v>
      </c>
      <c r="B63" s="107" t="s">
        <v>19</v>
      </c>
      <c r="C63" s="58">
        <v>46080</v>
      </c>
      <c r="D63" s="58"/>
      <c r="E63" s="58"/>
      <c r="F63" s="58"/>
      <c r="G63" s="108"/>
      <c r="H63" s="127" t="s">
        <v>161</v>
      </c>
      <c r="I63" s="119" t="s">
        <v>162</v>
      </c>
      <c r="J63" s="155" t="s">
        <v>34</v>
      </c>
      <c r="K63" s="155">
        <v>15</v>
      </c>
      <c r="L63" s="137"/>
      <c r="M63" s="133">
        <v>500</v>
      </c>
      <c r="N63" s="133">
        <f t="shared" si="0"/>
        <v>7500</v>
      </c>
      <c r="O63" s="129" t="s">
        <v>163</v>
      </c>
      <c r="P63" s="154" t="s">
        <v>99</v>
      </c>
      <c r="Q63" s="154"/>
      <c r="R63" s="135" t="s">
        <v>26</v>
      </c>
    </row>
    <row r="64" spans="1:18" ht="30" hidden="1" customHeight="1">
      <c r="A64" s="7">
        <v>62</v>
      </c>
      <c r="B64" s="107" t="s">
        <v>19</v>
      </c>
      <c r="C64" s="58">
        <v>46080</v>
      </c>
      <c r="D64" s="58" t="s">
        <v>164</v>
      </c>
      <c r="E64" s="58"/>
      <c r="F64" s="58"/>
      <c r="G64" s="108"/>
      <c r="H64" s="109" t="s">
        <v>165</v>
      </c>
      <c r="I64" s="109" t="s">
        <v>166</v>
      </c>
      <c r="J64" s="136" t="s">
        <v>167</v>
      </c>
      <c r="K64" s="136">
        <v>15</v>
      </c>
      <c r="L64" s="137"/>
      <c r="M64" s="133">
        <v>408</v>
      </c>
      <c r="N64" s="132">
        <f t="shared" si="0"/>
        <v>6120</v>
      </c>
      <c r="O64" s="134" t="s">
        <v>168</v>
      </c>
      <c r="P64" s="154" t="s">
        <v>99</v>
      </c>
      <c r="Q64" s="154"/>
      <c r="R64" s="135" t="s">
        <v>26</v>
      </c>
    </row>
    <row r="65" spans="1:18" ht="30" hidden="1" customHeight="1">
      <c r="A65" s="7">
        <v>63</v>
      </c>
      <c r="B65" s="107" t="s">
        <v>19</v>
      </c>
      <c r="C65" s="12">
        <v>46122</v>
      </c>
      <c r="D65" s="12" t="s">
        <v>93</v>
      </c>
      <c r="E65" s="58" t="s">
        <v>19</v>
      </c>
      <c r="F65" s="12">
        <v>46122</v>
      </c>
      <c r="G65" s="59"/>
      <c r="H65" s="122" t="s">
        <v>169</v>
      </c>
      <c r="I65" s="161" t="s">
        <v>170</v>
      </c>
      <c r="J65" s="155" t="s">
        <v>46</v>
      </c>
      <c r="K65" s="155">
        <v>1</v>
      </c>
      <c r="L65" s="137"/>
      <c r="M65" s="133">
        <v>5781</v>
      </c>
      <c r="N65" s="133">
        <f t="shared" si="0"/>
        <v>5781</v>
      </c>
      <c r="O65" s="129" t="s">
        <v>103</v>
      </c>
      <c r="P65" s="154" t="s">
        <v>99</v>
      </c>
      <c r="Q65" s="154"/>
      <c r="R65" s="135" t="s">
        <v>26</v>
      </c>
    </row>
    <row r="66" spans="1:18" ht="30" hidden="1" customHeight="1">
      <c r="A66" s="7">
        <v>64</v>
      </c>
      <c r="B66" s="107" t="s">
        <v>19</v>
      </c>
      <c r="C66" s="58">
        <v>46092</v>
      </c>
      <c r="D66" s="58" t="s">
        <v>27</v>
      </c>
      <c r="E66" s="58"/>
      <c r="F66" s="58"/>
      <c r="G66" s="108"/>
      <c r="H66" s="119" t="s">
        <v>32</v>
      </c>
      <c r="I66" s="119" t="s">
        <v>171</v>
      </c>
      <c r="J66" s="155" t="s">
        <v>66</v>
      </c>
      <c r="K66" s="155">
        <f>88+15</f>
        <v>103</v>
      </c>
      <c r="L66" s="137"/>
      <c r="M66" s="133">
        <v>55</v>
      </c>
      <c r="N66" s="133">
        <f t="shared" si="0"/>
        <v>5665</v>
      </c>
      <c r="O66" s="129" t="s">
        <v>172</v>
      </c>
      <c r="P66" s="154" t="s">
        <v>99</v>
      </c>
      <c r="Q66" s="154"/>
      <c r="R66" s="135" t="s">
        <v>26</v>
      </c>
    </row>
    <row r="67" spans="1:18" ht="30" hidden="1" customHeight="1">
      <c r="A67" s="7">
        <v>65</v>
      </c>
      <c r="B67" s="107" t="s">
        <v>19</v>
      </c>
      <c r="C67" s="58">
        <v>46092</v>
      </c>
      <c r="D67" s="58" t="s">
        <v>27</v>
      </c>
      <c r="E67" s="58"/>
      <c r="F67" s="58"/>
      <c r="G67" s="108"/>
      <c r="H67" s="119" t="s">
        <v>32</v>
      </c>
      <c r="I67" s="119" t="s">
        <v>173</v>
      </c>
      <c r="J67" s="155" t="s">
        <v>66</v>
      </c>
      <c r="K67" s="155">
        <f>88+10</f>
        <v>98</v>
      </c>
      <c r="L67" s="137"/>
      <c r="M67" s="133">
        <v>55</v>
      </c>
      <c r="N67" s="133">
        <f t="shared" ref="N67:N125" si="1">M67*K67</f>
        <v>5390</v>
      </c>
      <c r="O67" s="129" t="s">
        <v>172</v>
      </c>
      <c r="P67" s="154" t="s">
        <v>99</v>
      </c>
      <c r="Q67" s="154"/>
      <c r="R67" s="135" t="s">
        <v>26</v>
      </c>
    </row>
    <row r="68" spans="1:18" ht="30" hidden="1" customHeight="1">
      <c r="A68" s="7">
        <v>66</v>
      </c>
      <c r="B68" s="107" t="s">
        <v>19</v>
      </c>
      <c r="C68" s="58">
        <v>46098</v>
      </c>
      <c r="D68" s="58" t="s">
        <v>27</v>
      </c>
      <c r="E68" s="58"/>
      <c r="F68" s="58"/>
      <c r="G68" s="108"/>
      <c r="H68" s="119" t="s">
        <v>174</v>
      </c>
      <c r="I68" s="119" t="s">
        <v>175</v>
      </c>
      <c r="J68" s="155" t="s">
        <v>66</v>
      </c>
      <c r="K68" s="155">
        <v>10</v>
      </c>
      <c r="L68" s="156"/>
      <c r="M68" s="157">
        <v>500</v>
      </c>
      <c r="N68" s="133">
        <f t="shared" si="1"/>
        <v>5000</v>
      </c>
      <c r="O68" s="129" t="s">
        <v>103</v>
      </c>
      <c r="P68" s="154" t="s">
        <v>99</v>
      </c>
      <c r="Q68" s="154"/>
      <c r="R68" s="135" t="s">
        <v>26</v>
      </c>
    </row>
    <row r="69" spans="1:18" ht="30" hidden="1" customHeight="1">
      <c r="A69" s="7">
        <v>67</v>
      </c>
      <c r="B69" s="107" t="s">
        <v>19</v>
      </c>
      <c r="C69" s="58">
        <v>46092</v>
      </c>
      <c r="D69" s="58" t="s">
        <v>27</v>
      </c>
      <c r="E69" s="58"/>
      <c r="F69" s="58"/>
      <c r="G69" s="108"/>
      <c r="H69" s="119" t="s">
        <v>176</v>
      </c>
      <c r="I69" s="119"/>
      <c r="J69" s="155" t="s">
        <v>46</v>
      </c>
      <c r="K69" s="155">
        <v>20</v>
      </c>
      <c r="L69" s="156"/>
      <c r="M69" s="157">
        <v>250</v>
      </c>
      <c r="N69" s="133">
        <f t="shared" si="1"/>
        <v>5000</v>
      </c>
      <c r="O69" s="129" t="s">
        <v>103</v>
      </c>
      <c r="P69" s="154" t="s">
        <v>99</v>
      </c>
      <c r="Q69" s="154"/>
      <c r="R69" s="135" t="s">
        <v>26</v>
      </c>
    </row>
    <row r="70" spans="1:18" ht="30" hidden="1" customHeight="1">
      <c r="A70" s="7">
        <v>68</v>
      </c>
      <c r="B70" s="107" t="s">
        <v>19</v>
      </c>
      <c r="C70" s="58">
        <v>46107</v>
      </c>
      <c r="D70" s="58" t="s">
        <v>27</v>
      </c>
      <c r="E70" s="58"/>
      <c r="F70" s="58"/>
      <c r="G70" s="108"/>
      <c r="H70" s="109" t="s">
        <v>177</v>
      </c>
      <c r="I70" s="109" t="s">
        <v>178</v>
      </c>
      <c r="J70" s="136" t="s">
        <v>42</v>
      </c>
      <c r="K70" s="136">
        <v>50</v>
      </c>
      <c r="L70" s="137"/>
      <c r="M70" s="133">
        <v>83</v>
      </c>
      <c r="N70" s="133">
        <f t="shared" si="1"/>
        <v>4150</v>
      </c>
      <c r="O70" s="129" t="s">
        <v>103</v>
      </c>
      <c r="P70" s="154" t="s">
        <v>99</v>
      </c>
      <c r="Q70" s="154"/>
      <c r="R70" s="135" t="s">
        <v>26</v>
      </c>
    </row>
    <row r="71" spans="1:18" ht="30" hidden="1" customHeight="1">
      <c r="A71" s="7">
        <v>69</v>
      </c>
      <c r="B71" s="107" t="s">
        <v>19</v>
      </c>
      <c r="C71" s="58">
        <v>46112</v>
      </c>
      <c r="D71" s="58" t="s">
        <v>27</v>
      </c>
      <c r="E71" s="58"/>
      <c r="F71" s="58"/>
      <c r="G71" s="108"/>
      <c r="H71" s="161" t="s">
        <v>179</v>
      </c>
      <c r="I71" s="119"/>
      <c r="J71" s="155" t="s">
        <v>155</v>
      </c>
      <c r="K71" s="155">
        <v>40</v>
      </c>
      <c r="L71" s="139"/>
      <c r="M71" s="140">
        <v>100</v>
      </c>
      <c r="N71" s="133">
        <f t="shared" si="1"/>
        <v>4000</v>
      </c>
      <c r="O71" s="129" t="s">
        <v>103</v>
      </c>
      <c r="P71" s="154" t="s">
        <v>99</v>
      </c>
      <c r="Q71" s="154"/>
      <c r="R71" s="135" t="s">
        <v>26</v>
      </c>
    </row>
    <row r="72" spans="1:18" ht="30" hidden="1" customHeight="1">
      <c r="A72" s="7">
        <v>70</v>
      </c>
      <c r="B72" s="107" t="s">
        <v>19</v>
      </c>
      <c r="C72" s="58">
        <v>46107</v>
      </c>
      <c r="D72" s="58" t="s">
        <v>27</v>
      </c>
      <c r="E72" s="58"/>
      <c r="F72" s="58"/>
      <c r="G72" s="108"/>
      <c r="H72" s="119" t="s">
        <v>180</v>
      </c>
      <c r="I72" s="119" t="s">
        <v>181</v>
      </c>
      <c r="J72" s="155" t="s">
        <v>46</v>
      </c>
      <c r="K72" s="155">
        <v>10</v>
      </c>
      <c r="L72" s="156"/>
      <c r="M72" s="157">
        <v>400</v>
      </c>
      <c r="N72" s="133">
        <f t="shared" si="1"/>
        <v>4000</v>
      </c>
      <c r="O72" s="129" t="s">
        <v>103</v>
      </c>
      <c r="P72" s="154" t="s">
        <v>99</v>
      </c>
      <c r="Q72" s="154"/>
      <c r="R72" s="135" t="s">
        <v>26</v>
      </c>
    </row>
    <row r="73" spans="1:18" ht="30" hidden="1" customHeight="1">
      <c r="A73" s="7">
        <v>71</v>
      </c>
      <c r="B73" s="107" t="s">
        <v>19</v>
      </c>
      <c r="C73" s="28" t="s">
        <v>182</v>
      </c>
      <c r="D73" s="58" t="s">
        <v>27</v>
      </c>
      <c r="E73" s="58" t="s">
        <v>19</v>
      </c>
      <c r="F73" s="58" t="s">
        <v>183</v>
      </c>
      <c r="G73" s="108"/>
      <c r="H73" s="122" t="s">
        <v>184</v>
      </c>
      <c r="I73" s="119" t="s">
        <v>185</v>
      </c>
      <c r="J73" s="155" t="s">
        <v>66</v>
      </c>
      <c r="K73" s="155">
        <v>18</v>
      </c>
      <c r="L73" s="137"/>
      <c r="M73" s="133">
        <v>200</v>
      </c>
      <c r="N73" s="133">
        <f t="shared" si="1"/>
        <v>3600</v>
      </c>
      <c r="O73" s="129" t="s">
        <v>172</v>
      </c>
      <c r="P73" s="154" t="s">
        <v>99</v>
      </c>
      <c r="Q73" s="154"/>
      <c r="R73" s="135" t="s">
        <v>26</v>
      </c>
    </row>
    <row r="74" spans="1:18" ht="30" hidden="1" customHeight="1">
      <c r="A74" s="7">
        <v>72</v>
      </c>
      <c r="B74" s="107" t="s">
        <v>19</v>
      </c>
      <c r="C74" s="58">
        <v>46097</v>
      </c>
      <c r="D74" s="58" t="s">
        <v>27</v>
      </c>
      <c r="E74" s="58" t="s">
        <v>19</v>
      </c>
      <c r="F74" s="58" t="s">
        <v>36</v>
      </c>
      <c r="G74" s="108"/>
      <c r="H74" s="112" t="s">
        <v>68</v>
      </c>
      <c r="I74" s="129" t="s">
        <v>69</v>
      </c>
      <c r="J74" s="130" t="s">
        <v>34</v>
      </c>
      <c r="K74" s="130">
        <v>50</v>
      </c>
      <c r="L74" s="131"/>
      <c r="M74" s="132">
        <v>70</v>
      </c>
      <c r="N74" s="133">
        <f t="shared" si="1"/>
        <v>3500</v>
      </c>
      <c r="O74" s="129" t="s">
        <v>103</v>
      </c>
      <c r="P74" s="154" t="s">
        <v>99</v>
      </c>
      <c r="Q74" s="154"/>
      <c r="R74" s="135" t="s">
        <v>26</v>
      </c>
    </row>
    <row r="75" spans="1:18" ht="30" hidden="1" customHeight="1">
      <c r="A75" s="7">
        <v>73</v>
      </c>
      <c r="B75" s="107" t="s">
        <v>19</v>
      </c>
      <c r="C75" s="58">
        <v>46119</v>
      </c>
      <c r="D75" s="58" t="s">
        <v>27</v>
      </c>
      <c r="E75" s="58" t="s">
        <v>19</v>
      </c>
      <c r="F75" s="120" t="s">
        <v>186</v>
      </c>
      <c r="G75" s="72"/>
      <c r="H75" s="123" t="s">
        <v>187</v>
      </c>
      <c r="I75" s="112" t="s">
        <v>188</v>
      </c>
      <c r="J75" s="136" t="s">
        <v>34</v>
      </c>
      <c r="K75" s="136">
        <v>1</v>
      </c>
      <c r="L75" s="137"/>
      <c r="M75" s="133">
        <v>3222</v>
      </c>
      <c r="N75" s="133">
        <f t="shared" si="1"/>
        <v>3222</v>
      </c>
      <c r="O75" s="129" t="s">
        <v>103</v>
      </c>
      <c r="P75" s="154" t="s">
        <v>99</v>
      </c>
      <c r="Q75" s="154"/>
      <c r="R75" s="135" t="s">
        <v>26</v>
      </c>
    </row>
    <row r="76" spans="1:18" ht="30" hidden="1" customHeight="1">
      <c r="A76" s="7">
        <v>74</v>
      </c>
      <c r="B76" s="107" t="s">
        <v>19</v>
      </c>
      <c r="C76" s="58">
        <v>46119</v>
      </c>
      <c r="D76" s="58" t="s">
        <v>27</v>
      </c>
      <c r="E76" s="58" t="s">
        <v>19</v>
      </c>
      <c r="F76" s="28" t="s">
        <v>189</v>
      </c>
      <c r="G76" s="108"/>
      <c r="H76" s="119" t="s">
        <v>190</v>
      </c>
      <c r="I76" s="119" t="s">
        <v>191</v>
      </c>
      <c r="J76" s="155" t="s">
        <v>66</v>
      </c>
      <c r="K76" s="155">
        <v>16</v>
      </c>
      <c r="L76" s="137"/>
      <c r="M76" s="133">
        <v>200</v>
      </c>
      <c r="N76" s="133">
        <f t="shared" si="1"/>
        <v>3200</v>
      </c>
      <c r="O76" s="129" t="s">
        <v>172</v>
      </c>
      <c r="P76" s="154" t="s">
        <v>99</v>
      </c>
      <c r="Q76" s="154"/>
      <c r="R76" s="135" t="s">
        <v>26</v>
      </c>
    </row>
    <row r="77" spans="1:18" ht="30" hidden="1" customHeight="1">
      <c r="A77" s="7">
        <v>75</v>
      </c>
      <c r="B77" s="107" t="s">
        <v>19</v>
      </c>
      <c r="C77" s="12">
        <v>46127</v>
      </c>
      <c r="D77" s="58" t="s">
        <v>27</v>
      </c>
      <c r="E77" s="58"/>
      <c r="F77" s="58">
        <v>46126</v>
      </c>
      <c r="G77" s="108"/>
      <c r="H77" s="122" t="s">
        <v>192</v>
      </c>
      <c r="I77" s="119"/>
      <c r="J77" s="155" t="s">
        <v>66</v>
      </c>
      <c r="K77" s="155">
        <v>16</v>
      </c>
      <c r="L77" s="137"/>
      <c r="M77" s="133">
        <v>200</v>
      </c>
      <c r="N77" s="133">
        <f t="shared" si="1"/>
        <v>3200</v>
      </c>
      <c r="O77" s="129" t="s">
        <v>172</v>
      </c>
      <c r="P77" s="154" t="s">
        <v>99</v>
      </c>
      <c r="Q77" s="154"/>
      <c r="R77" s="135" t="s">
        <v>26</v>
      </c>
    </row>
    <row r="78" spans="1:18" ht="30" hidden="1" customHeight="1">
      <c r="A78" s="7">
        <v>76</v>
      </c>
      <c r="B78" s="107" t="s">
        <v>19</v>
      </c>
      <c r="C78" s="58">
        <v>46083</v>
      </c>
      <c r="D78" s="58" t="s">
        <v>20</v>
      </c>
      <c r="E78" s="58"/>
      <c r="F78" s="58"/>
      <c r="G78" s="108"/>
      <c r="H78" s="109" t="s">
        <v>21</v>
      </c>
      <c r="I78" s="129" t="s">
        <v>22</v>
      </c>
      <c r="J78" s="155" t="s">
        <v>23</v>
      </c>
      <c r="K78" s="155">
        <v>60</v>
      </c>
      <c r="L78" s="139"/>
      <c r="M78" s="140">
        <v>50</v>
      </c>
      <c r="N78" s="133">
        <f t="shared" si="1"/>
        <v>3000</v>
      </c>
      <c r="O78" s="129" t="s">
        <v>103</v>
      </c>
      <c r="P78" s="154" t="s">
        <v>99</v>
      </c>
      <c r="Q78" s="154"/>
      <c r="R78" s="135" t="s">
        <v>26</v>
      </c>
    </row>
    <row r="79" spans="1:18" ht="30" hidden="1" customHeight="1">
      <c r="A79" s="7">
        <v>77</v>
      </c>
      <c r="B79" s="107" t="s">
        <v>19</v>
      </c>
      <c r="C79" s="58">
        <v>46122</v>
      </c>
      <c r="D79" s="58" t="s">
        <v>27</v>
      </c>
      <c r="E79" s="58"/>
      <c r="F79" s="58">
        <v>46121</v>
      </c>
      <c r="G79" s="108"/>
      <c r="H79" s="119" t="s">
        <v>193</v>
      </c>
      <c r="I79" s="119" t="s">
        <v>194</v>
      </c>
      <c r="J79" s="155" t="s">
        <v>46</v>
      </c>
      <c r="K79" s="155">
        <v>4</v>
      </c>
      <c r="L79" s="156"/>
      <c r="M79" s="157">
        <v>650</v>
      </c>
      <c r="N79" s="133">
        <f t="shared" si="1"/>
        <v>2600</v>
      </c>
      <c r="O79" s="129" t="s">
        <v>103</v>
      </c>
      <c r="P79" s="154" t="s">
        <v>99</v>
      </c>
      <c r="Q79" s="154"/>
      <c r="R79" s="135" t="s">
        <v>26</v>
      </c>
    </row>
    <row r="80" spans="1:18" ht="30" hidden="1" customHeight="1">
      <c r="A80" s="7">
        <v>78</v>
      </c>
      <c r="B80" s="107" t="s">
        <v>19</v>
      </c>
      <c r="C80" s="28" t="s">
        <v>195</v>
      </c>
      <c r="D80" s="58" t="s">
        <v>27</v>
      </c>
      <c r="E80" s="58"/>
      <c r="F80" s="58"/>
      <c r="G80" s="108"/>
      <c r="H80" s="122" t="s">
        <v>196</v>
      </c>
      <c r="I80" s="171" t="s">
        <v>197</v>
      </c>
      <c r="J80" s="155" t="s">
        <v>42</v>
      </c>
      <c r="K80" s="155">
        <v>20</v>
      </c>
      <c r="L80" s="137"/>
      <c r="M80" s="133">
        <v>125</v>
      </c>
      <c r="N80" s="133">
        <f t="shared" si="1"/>
        <v>2500</v>
      </c>
      <c r="O80" s="129" t="s">
        <v>103</v>
      </c>
      <c r="P80" s="154" t="s">
        <v>99</v>
      </c>
      <c r="Q80" s="154"/>
      <c r="R80" s="135" t="s">
        <v>26</v>
      </c>
    </row>
    <row r="81" spans="1:18" ht="30" hidden="1" customHeight="1">
      <c r="A81" s="7">
        <v>79</v>
      </c>
      <c r="B81" s="107" t="s">
        <v>19</v>
      </c>
      <c r="C81" s="28" t="s">
        <v>198</v>
      </c>
      <c r="D81" s="58" t="s">
        <v>27</v>
      </c>
      <c r="E81" s="58"/>
      <c r="F81" s="58"/>
      <c r="G81" s="108"/>
      <c r="H81" s="119" t="s">
        <v>199</v>
      </c>
      <c r="I81" s="160">
        <v>120</v>
      </c>
      <c r="J81" s="155" t="s">
        <v>167</v>
      </c>
      <c r="K81" s="155">
        <v>10</v>
      </c>
      <c r="L81" s="156"/>
      <c r="M81" s="157">
        <v>200</v>
      </c>
      <c r="N81" s="133">
        <f t="shared" si="1"/>
        <v>2000</v>
      </c>
      <c r="O81" s="129" t="s">
        <v>103</v>
      </c>
      <c r="P81" s="154" t="s">
        <v>99</v>
      </c>
      <c r="Q81" s="154"/>
      <c r="R81" s="135" t="s">
        <v>26</v>
      </c>
    </row>
    <row r="82" spans="1:18" ht="30" hidden="1" customHeight="1">
      <c r="A82" s="7">
        <v>80</v>
      </c>
      <c r="B82" s="107" t="s">
        <v>19</v>
      </c>
      <c r="C82" s="58">
        <v>46107</v>
      </c>
      <c r="D82" s="58" t="s">
        <v>27</v>
      </c>
      <c r="E82" s="58"/>
      <c r="F82" s="58"/>
      <c r="G82" s="108"/>
      <c r="H82" s="109" t="s">
        <v>200</v>
      </c>
      <c r="I82" s="153" t="s">
        <v>201</v>
      </c>
      <c r="J82" s="144" t="s">
        <v>202</v>
      </c>
      <c r="K82" s="130">
        <v>50</v>
      </c>
      <c r="L82" s="131"/>
      <c r="M82" s="132">
        <v>40</v>
      </c>
      <c r="N82" s="132">
        <f t="shared" si="1"/>
        <v>2000</v>
      </c>
      <c r="O82" s="129" t="s">
        <v>103</v>
      </c>
      <c r="P82" s="154" t="s">
        <v>99</v>
      </c>
      <c r="Q82" s="154"/>
      <c r="R82" s="135" t="s">
        <v>26</v>
      </c>
    </row>
    <row r="83" spans="1:18" ht="30" hidden="1" customHeight="1">
      <c r="A83" s="7">
        <v>81</v>
      </c>
      <c r="B83" s="107" t="s">
        <v>19</v>
      </c>
      <c r="C83" s="58">
        <v>46104</v>
      </c>
      <c r="D83" s="58" t="s">
        <v>27</v>
      </c>
      <c r="E83" s="58"/>
      <c r="F83" s="58"/>
      <c r="G83" s="108"/>
      <c r="H83" s="119" t="s">
        <v>203</v>
      </c>
      <c r="I83" s="119"/>
      <c r="J83" s="155" t="s">
        <v>66</v>
      </c>
      <c r="K83" s="155">
        <v>6</v>
      </c>
      <c r="L83" s="156"/>
      <c r="M83" s="157">
        <v>300</v>
      </c>
      <c r="N83" s="133">
        <f t="shared" si="1"/>
        <v>1800</v>
      </c>
      <c r="O83" s="129" t="s">
        <v>103</v>
      </c>
      <c r="P83" s="154" t="s">
        <v>99</v>
      </c>
      <c r="Q83" s="154"/>
      <c r="R83" s="135" t="s">
        <v>26</v>
      </c>
    </row>
    <row r="84" spans="1:18" ht="30" hidden="1" customHeight="1">
      <c r="A84" s="7">
        <v>82</v>
      </c>
      <c r="B84" s="107" t="s">
        <v>19</v>
      </c>
      <c r="C84" s="58">
        <v>46107</v>
      </c>
      <c r="D84" s="58" t="s">
        <v>27</v>
      </c>
      <c r="E84" s="58"/>
      <c r="F84" s="58"/>
      <c r="G84" s="108"/>
      <c r="H84" s="109" t="s">
        <v>204</v>
      </c>
      <c r="I84" s="129" t="s">
        <v>205</v>
      </c>
      <c r="J84" s="130" t="s">
        <v>42</v>
      </c>
      <c r="K84" s="130">
        <v>20</v>
      </c>
      <c r="L84" s="131"/>
      <c r="M84" s="132">
        <v>83</v>
      </c>
      <c r="N84" s="133">
        <f t="shared" si="1"/>
        <v>1660</v>
      </c>
      <c r="O84" s="129" t="s">
        <v>103</v>
      </c>
      <c r="P84" s="154" t="s">
        <v>99</v>
      </c>
      <c r="Q84" s="154"/>
      <c r="R84" s="135" t="s">
        <v>26</v>
      </c>
    </row>
    <row r="85" spans="1:18" ht="30" hidden="1" customHeight="1">
      <c r="A85" s="7">
        <v>83</v>
      </c>
      <c r="B85" s="107" t="s">
        <v>19</v>
      </c>
      <c r="C85" s="58">
        <v>46092</v>
      </c>
      <c r="D85" s="58" t="s">
        <v>27</v>
      </c>
      <c r="E85" s="58"/>
      <c r="F85" s="58"/>
      <c r="G85" s="108"/>
      <c r="H85" s="119" t="s">
        <v>32</v>
      </c>
      <c r="I85" s="119" t="s">
        <v>206</v>
      </c>
      <c r="J85" s="155" t="s">
        <v>66</v>
      </c>
      <c r="K85" s="155">
        <v>30</v>
      </c>
      <c r="L85" s="137"/>
      <c r="M85" s="133">
        <v>55</v>
      </c>
      <c r="N85" s="133">
        <f t="shared" si="1"/>
        <v>1650</v>
      </c>
      <c r="O85" s="129" t="s">
        <v>172</v>
      </c>
      <c r="P85" s="154" t="s">
        <v>99</v>
      </c>
      <c r="Q85" s="154"/>
      <c r="R85" s="135" t="s">
        <v>26</v>
      </c>
    </row>
    <row r="86" spans="1:18" ht="30" hidden="1" customHeight="1">
      <c r="A86" s="7">
        <v>84</v>
      </c>
      <c r="B86" s="107" t="s">
        <v>19</v>
      </c>
      <c r="C86" s="58">
        <v>46098</v>
      </c>
      <c r="D86" s="58" t="s">
        <v>27</v>
      </c>
      <c r="E86" s="58"/>
      <c r="F86" s="58"/>
      <c r="G86" s="108"/>
      <c r="H86" s="109" t="s">
        <v>207</v>
      </c>
      <c r="I86" s="129"/>
      <c r="J86" s="130" t="s">
        <v>34</v>
      </c>
      <c r="K86" s="130">
        <v>200</v>
      </c>
      <c r="L86" s="131"/>
      <c r="M86" s="132">
        <v>8</v>
      </c>
      <c r="N86" s="133">
        <f t="shared" si="1"/>
        <v>1600</v>
      </c>
      <c r="O86" s="129" t="s">
        <v>103</v>
      </c>
      <c r="P86" s="154" t="s">
        <v>99</v>
      </c>
      <c r="Q86" s="154"/>
      <c r="R86" s="135" t="s">
        <v>26</v>
      </c>
    </row>
    <row r="87" spans="1:18" ht="30" hidden="1" customHeight="1">
      <c r="A87" s="7">
        <v>85</v>
      </c>
      <c r="B87" s="107" t="s">
        <v>19</v>
      </c>
      <c r="C87" s="58">
        <v>46083</v>
      </c>
      <c r="D87" s="12" t="s">
        <v>93</v>
      </c>
      <c r="E87" s="58"/>
      <c r="F87" s="58"/>
      <c r="G87" s="108"/>
      <c r="H87" s="119" t="s">
        <v>208</v>
      </c>
      <c r="I87" s="119" t="s">
        <v>209</v>
      </c>
      <c r="J87" s="155" t="s">
        <v>34</v>
      </c>
      <c r="K87" s="155">
        <v>3</v>
      </c>
      <c r="L87" s="131"/>
      <c r="M87" s="132">
        <v>500</v>
      </c>
      <c r="N87" s="133">
        <f t="shared" si="1"/>
        <v>1500</v>
      </c>
      <c r="O87" s="129" t="s">
        <v>103</v>
      </c>
      <c r="P87" s="154" t="s">
        <v>99</v>
      </c>
      <c r="Q87" s="154"/>
      <c r="R87" s="135" t="s">
        <v>26</v>
      </c>
    </row>
    <row r="88" spans="1:18" ht="30" hidden="1" customHeight="1">
      <c r="A88" s="7">
        <v>86</v>
      </c>
      <c r="B88" s="107" t="s">
        <v>19</v>
      </c>
      <c r="C88" s="164" t="s">
        <v>210</v>
      </c>
      <c r="D88" s="28" t="s">
        <v>70</v>
      </c>
      <c r="E88" s="58"/>
      <c r="F88" s="58"/>
      <c r="G88" s="108"/>
      <c r="H88" s="113" t="s">
        <v>71</v>
      </c>
      <c r="I88" s="117" t="s">
        <v>72</v>
      </c>
      <c r="J88" s="138" t="s">
        <v>34</v>
      </c>
      <c r="K88" s="138">
        <v>1</v>
      </c>
      <c r="L88" s="139"/>
      <c r="M88" s="140">
        <v>1470</v>
      </c>
      <c r="N88" s="133">
        <f t="shared" si="1"/>
        <v>1470</v>
      </c>
      <c r="O88" s="129" t="s">
        <v>103</v>
      </c>
      <c r="P88" s="154" t="s">
        <v>99</v>
      </c>
      <c r="Q88" s="154"/>
      <c r="R88" s="135" t="s">
        <v>26</v>
      </c>
    </row>
    <row r="89" spans="1:18" ht="30" hidden="1" customHeight="1">
      <c r="A89" s="7">
        <v>87</v>
      </c>
      <c r="B89" s="107" t="s">
        <v>19</v>
      </c>
      <c r="C89" s="28" t="s">
        <v>211</v>
      </c>
      <c r="D89" s="58" t="s">
        <v>27</v>
      </c>
      <c r="E89" s="58"/>
      <c r="F89" s="58"/>
      <c r="G89" s="108"/>
      <c r="H89" s="119" t="s">
        <v>212</v>
      </c>
      <c r="I89" s="129" t="s">
        <v>213</v>
      </c>
      <c r="J89" s="155" t="s">
        <v>42</v>
      </c>
      <c r="K89" s="155">
        <v>4</v>
      </c>
      <c r="L89" s="137"/>
      <c r="M89" s="133">
        <v>350</v>
      </c>
      <c r="N89" s="133">
        <f t="shared" si="1"/>
        <v>1400</v>
      </c>
      <c r="O89" s="129" t="s">
        <v>103</v>
      </c>
      <c r="P89" s="154" t="s">
        <v>99</v>
      </c>
      <c r="Q89" s="154"/>
      <c r="R89" s="135" t="s">
        <v>26</v>
      </c>
    </row>
    <row r="90" spans="1:18" ht="30" hidden="1" customHeight="1">
      <c r="A90" s="7">
        <v>88</v>
      </c>
      <c r="B90" s="107" t="s">
        <v>19</v>
      </c>
      <c r="C90" s="58">
        <v>46086</v>
      </c>
      <c r="D90" s="28" t="s">
        <v>214</v>
      </c>
      <c r="E90" s="58"/>
      <c r="F90" s="58"/>
      <c r="G90" s="108"/>
      <c r="H90" s="109" t="s">
        <v>215</v>
      </c>
      <c r="I90" s="153"/>
      <c r="J90" s="130" t="s">
        <v>216</v>
      </c>
      <c r="K90" s="130">
        <v>20</v>
      </c>
      <c r="L90" s="131"/>
      <c r="M90" s="132">
        <v>65</v>
      </c>
      <c r="N90" s="133">
        <f t="shared" si="1"/>
        <v>1300</v>
      </c>
      <c r="O90" s="129" t="s">
        <v>103</v>
      </c>
      <c r="P90" s="154" t="s">
        <v>99</v>
      </c>
      <c r="Q90" s="154"/>
      <c r="R90" s="135" t="s">
        <v>26</v>
      </c>
    </row>
    <row r="91" spans="1:18" ht="30" hidden="1" customHeight="1">
      <c r="A91" s="7">
        <v>89</v>
      </c>
      <c r="B91" s="107" t="s">
        <v>19</v>
      </c>
      <c r="C91" s="58">
        <v>46104</v>
      </c>
      <c r="D91" s="58" t="s">
        <v>27</v>
      </c>
      <c r="E91" s="58"/>
      <c r="F91" s="58"/>
      <c r="G91" s="108"/>
      <c r="H91" s="122" t="s">
        <v>196</v>
      </c>
      <c r="I91" s="171" t="s">
        <v>217</v>
      </c>
      <c r="J91" s="155" t="s">
        <v>42</v>
      </c>
      <c r="K91" s="155">
        <v>10</v>
      </c>
      <c r="L91" s="137"/>
      <c r="M91" s="133">
        <v>125</v>
      </c>
      <c r="N91" s="133">
        <f t="shared" si="1"/>
        <v>1250</v>
      </c>
      <c r="O91" s="129" t="s">
        <v>103</v>
      </c>
      <c r="P91" s="154" t="s">
        <v>99</v>
      </c>
      <c r="Q91" s="154"/>
      <c r="R91" s="135" t="s">
        <v>26</v>
      </c>
    </row>
    <row r="92" spans="1:18" ht="30" hidden="1" customHeight="1">
      <c r="A92" s="7">
        <v>90</v>
      </c>
      <c r="B92" s="107" t="s">
        <v>19</v>
      </c>
      <c r="C92" s="58">
        <v>46084</v>
      </c>
      <c r="D92" s="26" t="s">
        <v>110</v>
      </c>
      <c r="E92" s="26"/>
      <c r="F92" s="26"/>
      <c r="G92" s="59"/>
      <c r="H92" s="122" t="s">
        <v>218</v>
      </c>
      <c r="I92" s="161" t="s">
        <v>219</v>
      </c>
      <c r="J92" s="155" t="s">
        <v>143</v>
      </c>
      <c r="K92" s="155">
        <v>20</v>
      </c>
      <c r="L92" s="137"/>
      <c r="M92" s="133">
        <v>60</v>
      </c>
      <c r="N92" s="133">
        <f t="shared" si="1"/>
        <v>1200</v>
      </c>
      <c r="O92" s="129" t="s">
        <v>103</v>
      </c>
      <c r="P92" s="154" t="s">
        <v>99</v>
      </c>
      <c r="Q92" s="154"/>
      <c r="R92" s="135" t="s">
        <v>26</v>
      </c>
    </row>
    <row r="93" spans="1:18" ht="30" hidden="1" customHeight="1">
      <c r="A93" s="7">
        <v>91</v>
      </c>
      <c r="B93" s="107" t="s">
        <v>19</v>
      </c>
      <c r="C93" s="28" t="s">
        <v>220</v>
      </c>
      <c r="D93" s="58" t="s">
        <v>27</v>
      </c>
      <c r="E93" s="58" t="s">
        <v>19</v>
      </c>
      <c r="F93" s="58" t="s">
        <v>183</v>
      </c>
      <c r="G93" s="108"/>
      <c r="H93" s="119" t="s">
        <v>221</v>
      </c>
      <c r="I93" s="119" t="s">
        <v>222</v>
      </c>
      <c r="J93" s="155" t="s">
        <v>66</v>
      </c>
      <c r="K93" s="155">
        <v>6</v>
      </c>
      <c r="L93" s="137"/>
      <c r="M93" s="133">
        <v>200</v>
      </c>
      <c r="N93" s="133">
        <f t="shared" si="1"/>
        <v>1200</v>
      </c>
      <c r="O93" s="129" t="s">
        <v>172</v>
      </c>
      <c r="P93" s="154" t="s">
        <v>99</v>
      </c>
      <c r="Q93" s="154"/>
      <c r="R93" s="135" t="s">
        <v>26</v>
      </c>
    </row>
    <row r="94" spans="1:18" ht="30" hidden="1" customHeight="1">
      <c r="A94" s="7">
        <v>92</v>
      </c>
      <c r="B94" s="107" t="s">
        <v>19</v>
      </c>
      <c r="C94" s="58">
        <v>46104</v>
      </c>
      <c r="D94" s="58" t="s">
        <v>27</v>
      </c>
      <c r="E94" s="58"/>
      <c r="F94" s="58"/>
      <c r="G94" s="108"/>
      <c r="H94" s="112" t="s">
        <v>223</v>
      </c>
      <c r="I94" s="129" t="s">
        <v>224</v>
      </c>
      <c r="J94" s="130" t="s">
        <v>115</v>
      </c>
      <c r="K94" s="130">
        <v>6</v>
      </c>
      <c r="L94" s="131"/>
      <c r="M94" s="132">
        <v>190</v>
      </c>
      <c r="N94" s="132">
        <f t="shared" si="1"/>
        <v>1140</v>
      </c>
      <c r="O94" s="134" t="s">
        <v>168</v>
      </c>
      <c r="P94" s="154" t="s">
        <v>99</v>
      </c>
      <c r="Q94" s="154"/>
      <c r="R94" s="135" t="s">
        <v>26</v>
      </c>
    </row>
    <row r="95" spans="1:18" ht="30" hidden="1" customHeight="1">
      <c r="A95" s="7">
        <v>93</v>
      </c>
      <c r="B95" s="107" t="s">
        <v>19</v>
      </c>
      <c r="C95" s="58">
        <v>46104</v>
      </c>
      <c r="D95" s="58" t="s">
        <v>27</v>
      </c>
      <c r="E95" s="58" t="s">
        <v>19</v>
      </c>
      <c r="F95" s="58">
        <v>46101</v>
      </c>
      <c r="G95" s="108"/>
      <c r="H95" s="119" t="s">
        <v>225</v>
      </c>
      <c r="I95" s="119" t="s">
        <v>226</v>
      </c>
      <c r="J95" s="155" t="s">
        <v>227</v>
      </c>
      <c r="K95" s="155">
        <v>5</v>
      </c>
      <c r="L95" s="139"/>
      <c r="M95" s="140">
        <v>200</v>
      </c>
      <c r="N95" s="133">
        <f t="shared" si="1"/>
        <v>1000</v>
      </c>
      <c r="O95" s="129" t="s">
        <v>103</v>
      </c>
      <c r="P95" s="154" t="s">
        <v>99</v>
      </c>
      <c r="Q95" s="154"/>
      <c r="R95" s="135" t="s">
        <v>26</v>
      </c>
    </row>
    <row r="96" spans="1:18" ht="30" hidden="1" customHeight="1">
      <c r="A96" s="7">
        <v>94</v>
      </c>
      <c r="B96" s="107" t="s">
        <v>19</v>
      </c>
      <c r="C96" s="58">
        <v>46105</v>
      </c>
      <c r="D96" s="58" t="s">
        <v>27</v>
      </c>
      <c r="E96" s="58"/>
      <c r="F96" s="58"/>
      <c r="G96" s="108"/>
      <c r="H96" s="119" t="s">
        <v>228</v>
      </c>
      <c r="I96" s="119"/>
      <c r="J96" s="155" t="s">
        <v>66</v>
      </c>
      <c r="K96" s="155">
        <v>5</v>
      </c>
      <c r="L96" s="156"/>
      <c r="M96" s="157">
        <v>200</v>
      </c>
      <c r="N96" s="133">
        <f t="shared" si="1"/>
        <v>1000</v>
      </c>
      <c r="O96" s="129" t="s">
        <v>103</v>
      </c>
      <c r="P96" s="154" t="s">
        <v>99</v>
      </c>
      <c r="Q96" s="154"/>
      <c r="R96" s="135" t="s">
        <v>26</v>
      </c>
    </row>
    <row r="97" spans="1:18" ht="30" hidden="1" customHeight="1">
      <c r="A97" s="7">
        <v>95</v>
      </c>
      <c r="B97" s="107" t="s">
        <v>19</v>
      </c>
      <c r="C97" s="58">
        <v>46104</v>
      </c>
      <c r="D97" s="58" t="s">
        <v>27</v>
      </c>
      <c r="E97" s="58"/>
      <c r="F97" s="58"/>
      <c r="G97" s="108"/>
      <c r="H97" s="165" t="s">
        <v>229</v>
      </c>
      <c r="I97" s="119"/>
      <c r="J97" s="155" t="s">
        <v>66</v>
      </c>
      <c r="K97" s="155">
        <v>1</v>
      </c>
      <c r="L97" s="137"/>
      <c r="M97" s="133">
        <v>1000</v>
      </c>
      <c r="N97" s="133">
        <f t="shared" si="1"/>
        <v>1000</v>
      </c>
      <c r="O97" s="129" t="s">
        <v>230</v>
      </c>
      <c r="P97" s="154" t="s">
        <v>99</v>
      </c>
      <c r="Q97" s="154"/>
      <c r="R97" s="135" t="s">
        <v>26</v>
      </c>
    </row>
    <row r="98" spans="1:18" ht="30" hidden="1" customHeight="1">
      <c r="A98" s="7">
        <v>96</v>
      </c>
      <c r="B98" s="107" t="s">
        <v>19</v>
      </c>
      <c r="C98" s="58">
        <v>46105</v>
      </c>
      <c r="D98" s="58" t="s">
        <v>27</v>
      </c>
      <c r="E98" s="58"/>
      <c r="F98" s="58"/>
      <c r="G98" s="108"/>
      <c r="H98" s="165" t="s">
        <v>231</v>
      </c>
      <c r="I98" s="119"/>
      <c r="J98" s="155" t="s">
        <v>66</v>
      </c>
      <c r="K98" s="155">
        <v>2</v>
      </c>
      <c r="L98" s="137"/>
      <c r="M98" s="133">
        <v>500</v>
      </c>
      <c r="N98" s="133">
        <f t="shared" si="1"/>
        <v>1000</v>
      </c>
      <c r="O98" s="129" t="s">
        <v>232</v>
      </c>
      <c r="P98" s="154" t="s">
        <v>99</v>
      </c>
      <c r="Q98" s="154"/>
      <c r="R98" s="135" t="s">
        <v>26</v>
      </c>
    </row>
    <row r="99" spans="1:18" ht="30" hidden="1" customHeight="1">
      <c r="A99" s="7">
        <v>97</v>
      </c>
      <c r="B99" s="107" t="s">
        <v>19</v>
      </c>
      <c r="C99" s="58">
        <v>46087</v>
      </c>
      <c r="D99" s="26" t="s">
        <v>110</v>
      </c>
      <c r="E99" s="26"/>
      <c r="F99" s="26"/>
      <c r="G99" s="59"/>
      <c r="H99" s="122" t="s">
        <v>218</v>
      </c>
      <c r="I99" s="161" t="s">
        <v>233</v>
      </c>
      <c r="J99" s="155" t="s">
        <v>66</v>
      </c>
      <c r="K99" s="155">
        <v>100</v>
      </c>
      <c r="L99" s="137"/>
      <c r="M99" s="133">
        <v>10</v>
      </c>
      <c r="N99" s="133">
        <f t="shared" si="1"/>
        <v>1000</v>
      </c>
      <c r="O99" s="129" t="s">
        <v>103</v>
      </c>
      <c r="P99" s="154" t="s">
        <v>99</v>
      </c>
      <c r="Q99" s="154"/>
      <c r="R99" s="135" t="s">
        <v>26</v>
      </c>
    </row>
    <row r="100" spans="1:18" ht="30" hidden="1" customHeight="1">
      <c r="A100" s="7">
        <v>98</v>
      </c>
      <c r="B100" s="107" t="s">
        <v>19</v>
      </c>
      <c r="C100" s="58">
        <v>46087</v>
      </c>
      <c r="D100" s="26" t="s">
        <v>110</v>
      </c>
      <c r="E100" s="26"/>
      <c r="F100" s="26"/>
      <c r="G100" s="59"/>
      <c r="H100" s="122" t="s">
        <v>218</v>
      </c>
      <c r="I100" s="161" t="s">
        <v>234</v>
      </c>
      <c r="J100" s="155" t="s">
        <v>66</v>
      </c>
      <c r="K100" s="155">
        <v>100</v>
      </c>
      <c r="L100" s="137"/>
      <c r="M100" s="133">
        <v>10</v>
      </c>
      <c r="N100" s="133">
        <f t="shared" si="1"/>
        <v>1000</v>
      </c>
      <c r="O100" s="129" t="s">
        <v>103</v>
      </c>
      <c r="P100" s="154" t="s">
        <v>99</v>
      </c>
      <c r="Q100" s="154"/>
      <c r="R100" s="135" t="s">
        <v>26</v>
      </c>
    </row>
    <row r="101" spans="1:18" ht="30" hidden="1" customHeight="1">
      <c r="A101" s="7">
        <v>99</v>
      </c>
      <c r="B101" s="107" t="s">
        <v>19</v>
      </c>
      <c r="C101" s="58">
        <v>46084</v>
      </c>
      <c r="D101" s="26" t="s">
        <v>110</v>
      </c>
      <c r="E101" s="26"/>
      <c r="F101" s="26"/>
      <c r="G101" s="59"/>
      <c r="H101" s="122" t="s">
        <v>218</v>
      </c>
      <c r="I101" s="161" t="s">
        <v>235</v>
      </c>
      <c r="J101" s="155" t="s">
        <v>143</v>
      </c>
      <c r="K101" s="155">
        <v>2</v>
      </c>
      <c r="L101" s="137"/>
      <c r="M101" s="133">
        <v>500</v>
      </c>
      <c r="N101" s="133">
        <f t="shared" si="1"/>
        <v>1000</v>
      </c>
      <c r="O101" s="129" t="s">
        <v>103</v>
      </c>
      <c r="P101" s="154" t="s">
        <v>99</v>
      </c>
      <c r="Q101" s="154"/>
      <c r="R101" s="135" t="s">
        <v>26</v>
      </c>
    </row>
    <row r="102" spans="1:18" ht="30" hidden="1" customHeight="1">
      <c r="A102" s="7">
        <v>100</v>
      </c>
      <c r="B102" s="107" t="s">
        <v>19</v>
      </c>
      <c r="C102" s="58">
        <v>46083</v>
      </c>
      <c r="D102" s="58" t="s">
        <v>27</v>
      </c>
      <c r="E102" s="58"/>
      <c r="F102" s="58"/>
      <c r="G102" s="108"/>
      <c r="H102" s="113" t="s">
        <v>73</v>
      </c>
      <c r="I102" s="142"/>
      <c r="J102" s="138" t="s">
        <v>34</v>
      </c>
      <c r="K102" s="138">
        <v>1</v>
      </c>
      <c r="L102" s="139"/>
      <c r="M102" s="140">
        <v>967</v>
      </c>
      <c r="N102" s="133">
        <f t="shared" si="1"/>
        <v>967</v>
      </c>
      <c r="O102" s="129" t="s">
        <v>103</v>
      </c>
      <c r="P102" s="154" t="s">
        <v>99</v>
      </c>
      <c r="Q102" s="154"/>
      <c r="R102" s="135" t="s">
        <v>26</v>
      </c>
    </row>
    <row r="103" spans="1:18" ht="30" hidden="1" customHeight="1">
      <c r="A103" s="7">
        <v>101</v>
      </c>
      <c r="B103" s="107" t="s">
        <v>19</v>
      </c>
      <c r="C103" s="58">
        <v>46092</v>
      </c>
      <c r="D103" s="58" t="s">
        <v>27</v>
      </c>
      <c r="E103" s="58"/>
      <c r="F103" s="58"/>
      <c r="G103" s="108"/>
      <c r="H103" s="117" t="s">
        <v>75</v>
      </c>
      <c r="I103" s="117" t="s">
        <v>76</v>
      </c>
      <c r="J103" s="143" t="s">
        <v>34</v>
      </c>
      <c r="K103" s="138">
        <v>25</v>
      </c>
      <c r="L103" s="139"/>
      <c r="M103" s="140">
        <v>37</v>
      </c>
      <c r="N103" s="133">
        <f t="shared" si="1"/>
        <v>925</v>
      </c>
      <c r="O103" s="129" t="s">
        <v>103</v>
      </c>
      <c r="P103" s="154" t="s">
        <v>99</v>
      </c>
      <c r="Q103" s="154"/>
      <c r="R103" s="135" t="s">
        <v>26</v>
      </c>
    </row>
    <row r="104" spans="1:18" ht="30" hidden="1" customHeight="1">
      <c r="A104" s="7">
        <v>102</v>
      </c>
      <c r="B104" s="107" t="s">
        <v>19</v>
      </c>
      <c r="C104" s="58">
        <v>46091</v>
      </c>
      <c r="D104" s="58" t="s">
        <v>27</v>
      </c>
      <c r="E104" s="58"/>
      <c r="F104" s="58"/>
      <c r="G104" s="108"/>
      <c r="H104" s="109" t="s">
        <v>77</v>
      </c>
      <c r="I104" s="129" t="s">
        <v>78</v>
      </c>
      <c r="J104" s="130" t="s">
        <v>42</v>
      </c>
      <c r="K104" s="130">
        <v>15</v>
      </c>
      <c r="L104" s="131"/>
      <c r="M104" s="132">
        <v>60</v>
      </c>
      <c r="N104" s="133">
        <f t="shared" si="1"/>
        <v>900</v>
      </c>
      <c r="O104" s="129" t="s">
        <v>103</v>
      </c>
      <c r="P104" s="154" t="s">
        <v>99</v>
      </c>
      <c r="Q104" s="154"/>
      <c r="R104" s="135" t="s">
        <v>26</v>
      </c>
    </row>
    <row r="105" spans="1:18" ht="30" hidden="1" customHeight="1">
      <c r="A105" s="7">
        <v>103</v>
      </c>
      <c r="B105" s="107" t="s">
        <v>19</v>
      </c>
      <c r="C105" s="58">
        <v>46104</v>
      </c>
      <c r="D105" s="58" t="s">
        <v>27</v>
      </c>
      <c r="E105" s="58"/>
      <c r="F105" s="58"/>
      <c r="G105" s="108"/>
      <c r="H105" s="112" t="s">
        <v>236</v>
      </c>
      <c r="I105" s="129" t="s">
        <v>237</v>
      </c>
      <c r="J105" s="130" t="s">
        <v>119</v>
      </c>
      <c r="K105" s="130">
        <v>5</v>
      </c>
      <c r="L105" s="131"/>
      <c r="M105" s="132">
        <v>177</v>
      </c>
      <c r="N105" s="132">
        <f t="shared" si="1"/>
        <v>885</v>
      </c>
      <c r="O105" s="134" t="s">
        <v>168</v>
      </c>
      <c r="P105" s="154" t="s">
        <v>99</v>
      </c>
      <c r="Q105" s="154"/>
      <c r="R105" s="135" t="s">
        <v>26</v>
      </c>
    </row>
    <row r="106" spans="1:18" ht="30" hidden="1" customHeight="1">
      <c r="A106" s="7">
        <v>104</v>
      </c>
      <c r="B106" s="107" t="s">
        <v>19</v>
      </c>
      <c r="C106" s="58">
        <v>46092</v>
      </c>
      <c r="D106" s="58" t="s">
        <v>27</v>
      </c>
      <c r="E106" s="58"/>
      <c r="F106" s="58"/>
      <c r="G106" s="108"/>
      <c r="H106" s="119" t="s">
        <v>32</v>
      </c>
      <c r="I106" s="119" t="s">
        <v>238</v>
      </c>
      <c r="J106" s="155" t="s">
        <v>66</v>
      </c>
      <c r="K106" s="155">
        <v>16</v>
      </c>
      <c r="L106" s="137"/>
      <c r="M106" s="133">
        <v>55</v>
      </c>
      <c r="N106" s="133">
        <f t="shared" si="1"/>
        <v>880</v>
      </c>
      <c r="O106" s="129" t="s">
        <v>172</v>
      </c>
      <c r="P106" s="154" t="s">
        <v>99</v>
      </c>
      <c r="Q106" s="154"/>
      <c r="R106" s="135" t="s">
        <v>26</v>
      </c>
    </row>
    <row r="107" spans="1:18" ht="30" hidden="1" customHeight="1">
      <c r="A107" s="7">
        <v>105</v>
      </c>
      <c r="B107" s="107" t="s">
        <v>19</v>
      </c>
      <c r="C107" s="58">
        <v>46092</v>
      </c>
      <c r="D107" s="58" t="s">
        <v>27</v>
      </c>
      <c r="E107" s="58"/>
      <c r="F107" s="58"/>
      <c r="G107" s="108"/>
      <c r="H107" s="166" t="s">
        <v>82</v>
      </c>
      <c r="I107" s="166" t="s">
        <v>83</v>
      </c>
      <c r="J107" s="155" t="s">
        <v>66</v>
      </c>
      <c r="K107" s="155">
        <v>20</v>
      </c>
      <c r="L107" s="131"/>
      <c r="M107" s="132">
        <v>41</v>
      </c>
      <c r="N107" s="133">
        <f t="shared" si="1"/>
        <v>820</v>
      </c>
      <c r="O107" s="129" t="s">
        <v>103</v>
      </c>
      <c r="P107" s="154" t="s">
        <v>99</v>
      </c>
      <c r="Q107" s="154"/>
      <c r="R107" s="135" t="s">
        <v>26</v>
      </c>
    </row>
    <row r="108" spans="1:18" ht="30" hidden="1" customHeight="1">
      <c r="A108" s="7">
        <v>106</v>
      </c>
      <c r="B108" s="107" t="s">
        <v>19</v>
      </c>
      <c r="C108" s="58">
        <v>46091</v>
      </c>
      <c r="D108" s="58" t="s">
        <v>27</v>
      </c>
      <c r="E108" s="58"/>
      <c r="F108" s="58"/>
      <c r="G108" s="108"/>
      <c r="H108" s="119" t="s">
        <v>89</v>
      </c>
      <c r="I108" s="119" t="s">
        <v>90</v>
      </c>
      <c r="J108" s="155" t="s">
        <v>42</v>
      </c>
      <c r="K108" s="155">
        <v>15</v>
      </c>
      <c r="L108" s="139"/>
      <c r="M108" s="140">
        <v>53</v>
      </c>
      <c r="N108" s="133">
        <f t="shared" si="1"/>
        <v>795</v>
      </c>
      <c r="O108" s="129" t="s">
        <v>103</v>
      </c>
      <c r="P108" s="154" t="s">
        <v>99</v>
      </c>
      <c r="Q108" s="154"/>
      <c r="R108" s="135" t="s">
        <v>26</v>
      </c>
    </row>
    <row r="109" spans="1:18" ht="30" hidden="1" customHeight="1">
      <c r="A109" s="7">
        <v>107</v>
      </c>
      <c r="B109" s="7" t="s">
        <v>19</v>
      </c>
      <c r="C109" s="28" t="s">
        <v>239</v>
      </c>
      <c r="D109" s="28" t="s">
        <v>240</v>
      </c>
      <c r="E109" s="58" t="s">
        <v>19</v>
      </c>
      <c r="F109" s="58">
        <v>46113</v>
      </c>
      <c r="G109" s="108"/>
      <c r="H109" s="167" t="s">
        <v>241</v>
      </c>
      <c r="I109" s="161"/>
      <c r="J109" s="172" t="s">
        <v>143</v>
      </c>
      <c r="K109" s="155">
        <v>2</v>
      </c>
      <c r="L109" s="173"/>
      <c r="M109" s="174">
        <v>350</v>
      </c>
      <c r="N109" s="174">
        <f t="shared" si="1"/>
        <v>700</v>
      </c>
      <c r="O109" s="175" t="s">
        <v>103</v>
      </c>
      <c r="P109" s="154" t="s">
        <v>99</v>
      </c>
      <c r="Q109" s="154"/>
      <c r="R109" s="135" t="s">
        <v>26</v>
      </c>
    </row>
    <row r="110" spans="1:18" ht="30" hidden="1" customHeight="1">
      <c r="A110" s="7">
        <v>108</v>
      </c>
      <c r="B110" s="107" t="s">
        <v>19</v>
      </c>
      <c r="C110" s="58">
        <v>46092</v>
      </c>
      <c r="D110" s="58" t="s">
        <v>27</v>
      </c>
      <c r="E110" s="58"/>
      <c r="F110" s="58"/>
      <c r="G110" s="108"/>
      <c r="H110" s="119" t="s">
        <v>32</v>
      </c>
      <c r="I110" s="119" t="s">
        <v>242</v>
      </c>
      <c r="J110" s="155" t="s">
        <v>66</v>
      </c>
      <c r="K110" s="155">
        <v>12</v>
      </c>
      <c r="L110" s="137"/>
      <c r="M110" s="133">
        <v>55</v>
      </c>
      <c r="N110" s="133">
        <f t="shared" si="1"/>
        <v>660</v>
      </c>
      <c r="O110" s="129" t="s">
        <v>172</v>
      </c>
      <c r="P110" s="154" t="s">
        <v>99</v>
      </c>
      <c r="Q110" s="154"/>
      <c r="R110" s="135" t="s">
        <v>26</v>
      </c>
    </row>
    <row r="111" spans="1:18" ht="30" hidden="1" customHeight="1">
      <c r="A111" s="7">
        <v>109</v>
      </c>
      <c r="B111" s="107" t="s">
        <v>19</v>
      </c>
      <c r="C111" s="58">
        <v>46104</v>
      </c>
      <c r="D111" s="58" t="s">
        <v>27</v>
      </c>
      <c r="E111" s="58"/>
      <c r="F111" s="58"/>
      <c r="G111" s="108"/>
      <c r="H111" s="119" t="s">
        <v>243</v>
      </c>
      <c r="I111" s="119" t="s">
        <v>244</v>
      </c>
      <c r="J111" s="155" t="s">
        <v>66</v>
      </c>
      <c r="K111" s="155">
        <v>10</v>
      </c>
      <c r="L111" s="156"/>
      <c r="M111" s="157">
        <v>65</v>
      </c>
      <c r="N111" s="133">
        <f t="shared" si="1"/>
        <v>650</v>
      </c>
      <c r="O111" s="129" t="s">
        <v>103</v>
      </c>
      <c r="P111" s="154" t="s">
        <v>99</v>
      </c>
      <c r="Q111" s="154"/>
      <c r="R111" s="135" t="s">
        <v>26</v>
      </c>
    </row>
    <row r="112" spans="1:18" ht="30" hidden="1" customHeight="1">
      <c r="A112" s="7">
        <v>110</v>
      </c>
      <c r="B112" s="107" t="s">
        <v>19</v>
      </c>
      <c r="C112" s="58">
        <v>46104</v>
      </c>
      <c r="D112" s="58" t="s">
        <v>27</v>
      </c>
      <c r="E112" s="58"/>
      <c r="F112" s="58"/>
      <c r="G112" s="108"/>
      <c r="H112" s="119" t="s">
        <v>243</v>
      </c>
      <c r="I112" s="119" t="s">
        <v>245</v>
      </c>
      <c r="J112" s="155" t="s">
        <v>66</v>
      </c>
      <c r="K112" s="155">
        <v>10</v>
      </c>
      <c r="L112" s="156"/>
      <c r="M112" s="157">
        <v>65</v>
      </c>
      <c r="N112" s="133">
        <f t="shared" si="1"/>
        <v>650</v>
      </c>
      <c r="O112" s="129" t="s">
        <v>103</v>
      </c>
      <c r="P112" s="154" t="s">
        <v>99</v>
      </c>
      <c r="Q112" s="154"/>
      <c r="R112" s="135" t="s">
        <v>26</v>
      </c>
    </row>
    <row r="113" spans="1:18" ht="30" hidden="1" customHeight="1">
      <c r="A113" s="7">
        <v>111</v>
      </c>
      <c r="B113" s="107" t="s">
        <v>19</v>
      </c>
      <c r="C113" s="58">
        <v>46092</v>
      </c>
      <c r="D113" s="58" t="s">
        <v>27</v>
      </c>
      <c r="E113" s="58"/>
      <c r="F113" s="58"/>
      <c r="G113" s="108"/>
      <c r="H113" s="109" t="s">
        <v>82</v>
      </c>
      <c r="I113" s="109" t="s">
        <v>83</v>
      </c>
      <c r="J113" s="136" t="s">
        <v>66</v>
      </c>
      <c r="K113" s="136">
        <v>15</v>
      </c>
      <c r="L113" s="137"/>
      <c r="M113" s="133">
        <v>41</v>
      </c>
      <c r="N113" s="133">
        <f t="shared" si="1"/>
        <v>615</v>
      </c>
      <c r="O113" s="129" t="s">
        <v>103</v>
      </c>
      <c r="P113" s="154" t="s">
        <v>99</v>
      </c>
      <c r="Q113" s="154"/>
      <c r="R113" s="135" t="s">
        <v>26</v>
      </c>
    </row>
    <row r="114" spans="1:18" ht="30" hidden="1" customHeight="1">
      <c r="A114" s="7">
        <v>112</v>
      </c>
      <c r="B114" s="107" t="s">
        <v>19</v>
      </c>
      <c r="C114" s="58">
        <v>46092</v>
      </c>
      <c r="D114" s="58" t="s">
        <v>27</v>
      </c>
      <c r="E114" s="58"/>
      <c r="F114" s="58"/>
      <c r="G114" s="108"/>
      <c r="H114" s="109" t="s">
        <v>84</v>
      </c>
      <c r="I114" s="109" t="s">
        <v>83</v>
      </c>
      <c r="J114" s="136" t="s">
        <v>66</v>
      </c>
      <c r="K114" s="136">
        <v>15</v>
      </c>
      <c r="L114" s="137"/>
      <c r="M114" s="133">
        <v>41</v>
      </c>
      <c r="N114" s="133">
        <f t="shared" si="1"/>
        <v>615</v>
      </c>
      <c r="O114" s="129" t="s">
        <v>103</v>
      </c>
      <c r="P114" s="154" t="s">
        <v>99</v>
      </c>
      <c r="Q114" s="154"/>
      <c r="R114" s="135" t="s">
        <v>26</v>
      </c>
    </row>
    <row r="115" spans="1:18" ht="30" hidden="1" customHeight="1">
      <c r="A115" s="7">
        <v>113</v>
      </c>
      <c r="B115" s="107" t="s">
        <v>19</v>
      </c>
      <c r="C115" s="58">
        <v>46092</v>
      </c>
      <c r="D115" s="58" t="s">
        <v>27</v>
      </c>
      <c r="E115" s="58"/>
      <c r="F115" s="58"/>
      <c r="G115" s="108"/>
      <c r="H115" s="119" t="s">
        <v>32</v>
      </c>
      <c r="I115" s="119" t="s">
        <v>246</v>
      </c>
      <c r="J115" s="155" t="s">
        <v>66</v>
      </c>
      <c r="K115" s="155">
        <v>11</v>
      </c>
      <c r="L115" s="137"/>
      <c r="M115" s="133">
        <v>55</v>
      </c>
      <c r="N115" s="133">
        <f t="shared" si="1"/>
        <v>605</v>
      </c>
      <c r="O115" s="129" t="s">
        <v>172</v>
      </c>
      <c r="P115" s="154" t="s">
        <v>99</v>
      </c>
      <c r="Q115" s="154"/>
      <c r="R115" s="135" t="s">
        <v>26</v>
      </c>
    </row>
    <row r="116" spans="1:18" ht="30" hidden="1" customHeight="1">
      <c r="A116" s="7">
        <v>114</v>
      </c>
      <c r="B116" s="107" t="s">
        <v>19</v>
      </c>
      <c r="C116" s="58">
        <v>46098</v>
      </c>
      <c r="D116" s="58" t="s">
        <v>27</v>
      </c>
      <c r="E116" s="58"/>
      <c r="F116" s="58"/>
      <c r="G116" s="108"/>
      <c r="H116" s="122" t="s">
        <v>247</v>
      </c>
      <c r="I116" s="119" t="s">
        <v>248</v>
      </c>
      <c r="J116" s="155" t="s">
        <v>23</v>
      </c>
      <c r="K116" s="155">
        <v>30</v>
      </c>
      <c r="L116" s="156"/>
      <c r="M116" s="157">
        <v>20</v>
      </c>
      <c r="N116" s="133">
        <f t="shared" si="1"/>
        <v>600</v>
      </c>
      <c r="O116" s="129" t="s">
        <v>103</v>
      </c>
      <c r="P116" s="154" t="s">
        <v>99</v>
      </c>
      <c r="Q116" s="154"/>
      <c r="R116" s="135" t="s">
        <v>26</v>
      </c>
    </row>
    <row r="117" spans="1:18" ht="30" hidden="1" customHeight="1">
      <c r="A117" s="7">
        <v>115</v>
      </c>
      <c r="B117" s="107" t="s">
        <v>19</v>
      </c>
      <c r="C117" s="58">
        <v>46092</v>
      </c>
      <c r="D117" s="58" t="s">
        <v>27</v>
      </c>
      <c r="E117" s="58"/>
      <c r="F117" s="58"/>
      <c r="G117" s="108"/>
      <c r="H117" s="119" t="s">
        <v>32</v>
      </c>
      <c r="I117" s="119" t="s">
        <v>249</v>
      </c>
      <c r="J117" s="155" t="s">
        <v>66</v>
      </c>
      <c r="K117" s="155">
        <v>10</v>
      </c>
      <c r="L117" s="137"/>
      <c r="M117" s="133">
        <v>55</v>
      </c>
      <c r="N117" s="133">
        <f t="shared" si="1"/>
        <v>550</v>
      </c>
      <c r="O117" s="129" t="s">
        <v>103</v>
      </c>
      <c r="P117" s="154" t="s">
        <v>99</v>
      </c>
      <c r="Q117" s="154"/>
      <c r="R117" s="135" t="s">
        <v>26</v>
      </c>
    </row>
    <row r="118" spans="1:18" ht="30" hidden="1" customHeight="1">
      <c r="A118" s="7">
        <v>116</v>
      </c>
      <c r="B118" s="107" t="s">
        <v>19</v>
      </c>
      <c r="C118" s="58">
        <v>46098</v>
      </c>
      <c r="D118" s="58" t="s">
        <v>27</v>
      </c>
      <c r="E118" s="58"/>
      <c r="F118" s="58"/>
      <c r="G118" s="108"/>
      <c r="H118" s="122" t="s">
        <v>207</v>
      </c>
      <c r="I118" s="119"/>
      <c r="J118" s="155" t="s">
        <v>34</v>
      </c>
      <c r="K118" s="155">
        <v>50</v>
      </c>
      <c r="L118" s="137"/>
      <c r="M118" s="133">
        <v>10</v>
      </c>
      <c r="N118" s="133">
        <f t="shared" si="1"/>
        <v>500</v>
      </c>
      <c r="O118" s="129" t="s">
        <v>103</v>
      </c>
      <c r="P118" s="154" t="s">
        <v>99</v>
      </c>
      <c r="Q118" s="154"/>
      <c r="R118" s="135" t="s">
        <v>26</v>
      </c>
    </row>
    <row r="119" spans="1:18" ht="30" hidden="1" customHeight="1">
      <c r="A119" s="7">
        <v>117</v>
      </c>
      <c r="B119" s="107" t="s">
        <v>19</v>
      </c>
      <c r="C119" s="58">
        <v>46092</v>
      </c>
      <c r="D119" s="58" t="s">
        <v>27</v>
      </c>
      <c r="E119" s="58"/>
      <c r="F119" s="58"/>
      <c r="G119" s="108"/>
      <c r="H119" s="119" t="s">
        <v>32</v>
      </c>
      <c r="I119" s="119" t="s">
        <v>250</v>
      </c>
      <c r="J119" s="155" t="s">
        <v>66</v>
      </c>
      <c r="K119" s="155">
        <v>6</v>
      </c>
      <c r="L119" s="137"/>
      <c r="M119" s="133">
        <v>55</v>
      </c>
      <c r="N119" s="133">
        <f t="shared" si="1"/>
        <v>330</v>
      </c>
      <c r="O119" s="129" t="s">
        <v>172</v>
      </c>
      <c r="P119" s="154" t="s">
        <v>99</v>
      </c>
      <c r="Q119" s="154"/>
      <c r="R119" s="135" t="s">
        <v>26</v>
      </c>
    </row>
    <row r="120" spans="1:18" ht="30" hidden="1" customHeight="1">
      <c r="A120" s="7">
        <v>118</v>
      </c>
      <c r="B120" s="107" t="s">
        <v>19</v>
      </c>
      <c r="C120" s="58">
        <v>46104</v>
      </c>
      <c r="D120" s="58" t="s">
        <v>27</v>
      </c>
      <c r="E120" s="58"/>
      <c r="F120" s="58"/>
      <c r="G120" s="108"/>
      <c r="H120" s="112" t="s">
        <v>251</v>
      </c>
      <c r="I120" s="129" t="s">
        <v>252</v>
      </c>
      <c r="J120" s="130" t="s">
        <v>42</v>
      </c>
      <c r="K120" s="130">
        <v>4</v>
      </c>
      <c r="L120" s="131"/>
      <c r="M120" s="132">
        <v>72</v>
      </c>
      <c r="N120" s="132">
        <f t="shared" si="1"/>
        <v>288</v>
      </c>
      <c r="O120" s="134" t="s">
        <v>168</v>
      </c>
      <c r="P120" s="154" t="s">
        <v>99</v>
      </c>
      <c r="Q120" s="154"/>
      <c r="R120" s="135" t="s">
        <v>26</v>
      </c>
    </row>
    <row r="121" spans="1:18" ht="30" hidden="1" customHeight="1">
      <c r="A121" s="7">
        <v>119</v>
      </c>
      <c r="B121" s="107" t="s">
        <v>19</v>
      </c>
      <c r="C121" s="58">
        <v>46104</v>
      </c>
      <c r="D121" s="58" t="s">
        <v>27</v>
      </c>
      <c r="E121" s="58"/>
      <c r="F121" s="58"/>
      <c r="G121" s="108"/>
      <c r="H121" s="122" t="s">
        <v>253</v>
      </c>
      <c r="I121" s="119"/>
      <c r="J121" s="155" t="s">
        <v>66</v>
      </c>
      <c r="K121" s="155">
        <v>2</v>
      </c>
      <c r="L121" s="131"/>
      <c r="M121" s="132">
        <v>100</v>
      </c>
      <c r="N121" s="133">
        <f t="shared" si="1"/>
        <v>200</v>
      </c>
      <c r="O121" s="129" t="s">
        <v>103</v>
      </c>
      <c r="P121" s="154" t="s">
        <v>99</v>
      </c>
      <c r="Q121" s="154"/>
      <c r="R121" s="135" t="s">
        <v>26</v>
      </c>
    </row>
    <row r="122" spans="1:18" ht="30" hidden="1" customHeight="1">
      <c r="A122" s="7">
        <v>120</v>
      </c>
      <c r="B122" s="107" t="s">
        <v>19</v>
      </c>
      <c r="C122" s="58">
        <v>46104</v>
      </c>
      <c r="D122" s="58" t="s">
        <v>27</v>
      </c>
      <c r="E122" s="58"/>
      <c r="F122" s="58"/>
      <c r="G122" s="108"/>
      <c r="H122" s="122" t="s">
        <v>254</v>
      </c>
      <c r="I122" s="119" t="s">
        <v>255</v>
      </c>
      <c r="J122" s="155" t="s">
        <v>155</v>
      </c>
      <c r="K122" s="155">
        <v>50</v>
      </c>
      <c r="L122" s="137"/>
      <c r="M122" s="133">
        <v>3</v>
      </c>
      <c r="N122" s="133">
        <f t="shared" si="1"/>
        <v>150</v>
      </c>
      <c r="O122" s="129" t="s">
        <v>103</v>
      </c>
      <c r="P122" s="154" t="s">
        <v>99</v>
      </c>
      <c r="Q122" s="154"/>
      <c r="R122" s="135" t="s">
        <v>26</v>
      </c>
    </row>
    <row r="123" spans="1:18" ht="30" hidden="1" customHeight="1">
      <c r="A123" s="7">
        <v>121</v>
      </c>
      <c r="B123" s="107" t="s">
        <v>19</v>
      </c>
      <c r="C123" s="58">
        <v>46091</v>
      </c>
      <c r="D123" s="58" t="s">
        <v>27</v>
      </c>
      <c r="E123" s="58"/>
      <c r="F123" s="58"/>
      <c r="G123" s="108"/>
      <c r="H123" s="113" t="s">
        <v>91</v>
      </c>
      <c r="I123" s="142"/>
      <c r="J123" s="138" t="s">
        <v>34</v>
      </c>
      <c r="K123" s="138">
        <v>1</v>
      </c>
      <c r="L123" s="139"/>
      <c r="M123" s="140">
        <v>119</v>
      </c>
      <c r="N123" s="133">
        <f t="shared" si="1"/>
        <v>119</v>
      </c>
      <c r="O123" s="129" t="s">
        <v>103</v>
      </c>
      <c r="P123" s="154" t="s">
        <v>99</v>
      </c>
      <c r="Q123" s="154"/>
      <c r="R123" s="135" t="s">
        <v>26</v>
      </c>
    </row>
    <row r="124" spans="1:18" ht="30" hidden="1" customHeight="1">
      <c r="A124" s="7">
        <v>122</v>
      </c>
      <c r="B124" s="107" t="s">
        <v>19</v>
      </c>
      <c r="C124" s="58">
        <v>46087</v>
      </c>
      <c r="D124" s="168" t="s">
        <v>256</v>
      </c>
      <c r="E124" s="58"/>
      <c r="F124" s="58"/>
      <c r="G124" s="108">
        <v>4370069889</v>
      </c>
      <c r="H124" s="169" t="s">
        <v>257</v>
      </c>
      <c r="I124" s="142"/>
      <c r="J124" s="138" t="s">
        <v>34</v>
      </c>
      <c r="K124" s="138">
        <v>3</v>
      </c>
      <c r="L124" s="139"/>
      <c r="M124" s="140">
        <v>600</v>
      </c>
      <c r="N124" s="133">
        <f t="shared" si="1"/>
        <v>1800</v>
      </c>
      <c r="O124" s="129" t="s">
        <v>258</v>
      </c>
      <c r="P124" s="154" t="s">
        <v>99</v>
      </c>
      <c r="Q124" s="154"/>
      <c r="R124" s="135" t="s">
        <v>26</v>
      </c>
    </row>
    <row r="125" spans="1:18" ht="30" hidden="1" customHeight="1">
      <c r="A125" s="7">
        <v>123</v>
      </c>
      <c r="B125" s="107" t="s">
        <v>19</v>
      </c>
      <c r="C125" s="26" t="s">
        <v>259</v>
      </c>
      <c r="D125" s="26" t="s">
        <v>110</v>
      </c>
      <c r="E125" s="26"/>
      <c r="F125" s="26"/>
      <c r="G125" s="59"/>
      <c r="H125" s="119" t="s">
        <v>260</v>
      </c>
      <c r="I125" s="160" t="s">
        <v>112</v>
      </c>
      <c r="J125" s="155" t="s">
        <v>46</v>
      </c>
      <c r="K125" s="155">
        <v>4</v>
      </c>
      <c r="L125" s="156"/>
      <c r="M125" s="157">
        <v>10200</v>
      </c>
      <c r="N125" s="133">
        <f t="shared" si="1"/>
        <v>40800</v>
      </c>
      <c r="O125" s="129"/>
      <c r="P125" s="154" t="s">
        <v>99</v>
      </c>
      <c r="Q125" s="154"/>
      <c r="R125" s="135" t="s">
        <v>26</v>
      </c>
    </row>
    <row r="126" spans="1:18" ht="30" hidden="1" customHeight="1">
      <c r="A126" s="7">
        <v>124</v>
      </c>
      <c r="B126" s="107" t="s">
        <v>19</v>
      </c>
      <c r="C126" s="58"/>
      <c r="D126" s="58"/>
      <c r="E126" s="58" t="s">
        <v>19</v>
      </c>
      <c r="F126" s="58"/>
      <c r="G126" s="108">
        <v>4370069889</v>
      </c>
      <c r="H126" s="170" t="s">
        <v>261</v>
      </c>
      <c r="I126" s="176" t="s">
        <v>262</v>
      </c>
      <c r="J126" s="177" t="s">
        <v>143</v>
      </c>
      <c r="K126" s="178">
        <v>1</v>
      </c>
      <c r="L126" s="137"/>
      <c r="M126" s="133"/>
      <c r="N126" s="133"/>
      <c r="O126" s="129"/>
      <c r="P126" s="154" t="s">
        <v>99</v>
      </c>
      <c r="Q126" s="154"/>
      <c r="R126" s="135" t="s">
        <v>26</v>
      </c>
    </row>
    <row r="127" spans="1:18" ht="30" hidden="1" customHeight="1">
      <c r="A127" s="11">
        <v>125</v>
      </c>
      <c r="B127" s="57" t="s">
        <v>19</v>
      </c>
      <c r="C127" s="12">
        <v>46079</v>
      </c>
      <c r="D127" s="12" t="s">
        <v>263</v>
      </c>
      <c r="E127" s="58" t="s">
        <v>19</v>
      </c>
      <c r="F127" s="58"/>
      <c r="G127" s="108">
        <v>4000219953</v>
      </c>
      <c r="H127" s="109" t="s">
        <v>264</v>
      </c>
      <c r="I127" s="129" t="s">
        <v>265</v>
      </c>
      <c r="J127" s="130" t="s">
        <v>266</v>
      </c>
      <c r="K127" s="130">
        <v>18</v>
      </c>
      <c r="L127" s="131"/>
      <c r="M127" s="179">
        <v>15000</v>
      </c>
      <c r="N127" s="180">
        <f t="shared" ref="N127:N142" si="2">M127*K127</f>
        <v>270000</v>
      </c>
      <c r="O127" s="134" t="s">
        <v>267</v>
      </c>
      <c r="P127" s="29" t="s">
        <v>268</v>
      </c>
      <c r="Q127" s="29"/>
      <c r="R127" s="135" t="s">
        <v>26</v>
      </c>
    </row>
    <row r="128" spans="1:18" ht="30" hidden="1" customHeight="1">
      <c r="A128" s="11">
        <v>126</v>
      </c>
      <c r="B128" s="57" t="s">
        <v>19</v>
      </c>
      <c r="C128" s="58">
        <v>46090</v>
      </c>
      <c r="D128" s="58" t="s">
        <v>27</v>
      </c>
      <c r="E128" s="58"/>
      <c r="F128" s="58"/>
      <c r="G128" s="108">
        <v>4370069766</v>
      </c>
      <c r="H128" s="117" t="s">
        <v>101</v>
      </c>
      <c r="I128" s="181" t="s">
        <v>102</v>
      </c>
      <c r="J128" s="136" t="s">
        <v>66</v>
      </c>
      <c r="K128" s="136">
        <v>30</v>
      </c>
      <c r="L128" s="137"/>
      <c r="M128" s="180">
        <v>6000</v>
      </c>
      <c r="N128" s="180">
        <f t="shared" si="2"/>
        <v>180000</v>
      </c>
      <c r="O128" s="134" t="s">
        <v>269</v>
      </c>
      <c r="P128" s="29" t="s">
        <v>268</v>
      </c>
      <c r="Q128" s="29"/>
      <c r="R128" s="135" t="s">
        <v>26</v>
      </c>
    </row>
    <row r="129" spans="1:18" ht="30" hidden="1" customHeight="1">
      <c r="A129" s="11">
        <v>127</v>
      </c>
      <c r="B129" s="107" t="s">
        <v>19</v>
      </c>
      <c r="C129" s="182"/>
      <c r="D129" s="12" t="s">
        <v>93</v>
      </c>
      <c r="E129" s="58" t="s">
        <v>19</v>
      </c>
      <c r="F129" s="58"/>
      <c r="G129" s="108">
        <v>4370069766</v>
      </c>
      <c r="H129" s="109" t="s">
        <v>96</v>
      </c>
      <c r="I129" s="109" t="s">
        <v>270</v>
      </c>
      <c r="J129" s="136" t="s">
        <v>46</v>
      </c>
      <c r="K129" s="192">
        <v>4</v>
      </c>
      <c r="L129" s="137"/>
      <c r="M129" s="180">
        <v>12000</v>
      </c>
      <c r="N129" s="180">
        <f t="shared" si="2"/>
        <v>48000</v>
      </c>
      <c r="O129" s="134" t="s">
        <v>269</v>
      </c>
      <c r="P129" s="29" t="s">
        <v>268</v>
      </c>
      <c r="Q129" s="29"/>
      <c r="R129" s="135" t="s">
        <v>26</v>
      </c>
    </row>
    <row r="130" spans="1:18" ht="30" hidden="1" customHeight="1">
      <c r="A130" s="11">
        <v>128</v>
      </c>
      <c r="B130" s="57" t="s">
        <v>19</v>
      </c>
      <c r="C130" s="182"/>
      <c r="D130" s="26" t="s">
        <v>110</v>
      </c>
      <c r="E130" s="58" t="s">
        <v>19</v>
      </c>
      <c r="F130" s="58"/>
      <c r="G130" s="108">
        <v>4370069766</v>
      </c>
      <c r="H130" s="183" t="s">
        <v>271</v>
      </c>
      <c r="I130" s="109" t="s">
        <v>272</v>
      </c>
      <c r="J130" s="136" t="s">
        <v>46</v>
      </c>
      <c r="K130" s="136">
        <v>5</v>
      </c>
      <c r="L130" s="137"/>
      <c r="M130" s="180">
        <v>15000</v>
      </c>
      <c r="N130" s="180">
        <f t="shared" si="2"/>
        <v>75000</v>
      </c>
      <c r="O130" s="135" t="s">
        <v>273</v>
      </c>
      <c r="P130" s="29" t="s">
        <v>268</v>
      </c>
      <c r="Q130" s="29"/>
      <c r="R130" s="135" t="s">
        <v>26</v>
      </c>
    </row>
    <row r="131" spans="1:18" ht="30" hidden="1" customHeight="1">
      <c r="A131" s="11">
        <v>129</v>
      </c>
      <c r="B131" s="57" t="s">
        <v>19</v>
      </c>
      <c r="C131" s="58">
        <v>46090</v>
      </c>
      <c r="D131" s="58" t="s">
        <v>27</v>
      </c>
      <c r="E131" s="58"/>
      <c r="F131" s="58"/>
      <c r="G131" s="108">
        <v>4370069766</v>
      </c>
      <c r="H131" s="184" t="s">
        <v>101</v>
      </c>
      <c r="I131" s="181" t="s">
        <v>274</v>
      </c>
      <c r="J131" s="136" t="s">
        <v>66</v>
      </c>
      <c r="K131" s="136">
        <v>10</v>
      </c>
      <c r="L131" s="137"/>
      <c r="M131" s="180">
        <v>6500</v>
      </c>
      <c r="N131" s="180">
        <f t="shared" si="2"/>
        <v>65000</v>
      </c>
      <c r="O131" s="134" t="s">
        <v>269</v>
      </c>
      <c r="P131" s="29" t="s">
        <v>268</v>
      </c>
      <c r="Q131" s="29"/>
      <c r="R131" s="135" t="s">
        <v>26</v>
      </c>
    </row>
    <row r="132" spans="1:18" ht="30" hidden="1" customHeight="1">
      <c r="A132" s="11">
        <v>130</v>
      </c>
      <c r="B132" s="57" t="s">
        <v>19</v>
      </c>
      <c r="C132" s="58"/>
      <c r="D132" s="58" t="s">
        <v>27</v>
      </c>
      <c r="E132" s="58" t="s">
        <v>19</v>
      </c>
      <c r="F132" s="58"/>
      <c r="G132" s="108">
        <v>4370069766</v>
      </c>
      <c r="H132" s="122" t="s">
        <v>113</v>
      </c>
      <c r="I132" s="161" t="s">
        <v>275</v>
      </c>
      <c r="J132" s="155" t="s">
        <v>115</v>
      </c>
      <c r="K132" s="193">
        <v>300</v>
      </c>
      <c r="L132" s="137"/>
      <c r="M132" s="180">
        <v>150</v>
      </c>
      <c r="N132" s="180">
        <f t="shared" si="2"/>
        <v>45000</v>
      </c>
      <c r="O132" s="134" t="s">
        <v>267</v>
      </c>
      <c r="P132" s="29" t="s">
        <v>268</v>
      </c>
      <c r="Q132" s="29"/>
      <c r="R132" s="135" t="s">
        <v>26</v>
      </c>
    </row>
    <row r="133" spans="1:18" ht="30" hidden="1" customHeight="1">
      <c r="A133" s="11">
        <v>131</v>
      </c>
      <c r="B133" s="57" t="s">
        <v>19</v>
      </c>
      <c r="C133" s="58"/>
      <c r="D133" s="58" t="s">
        <v>116</v>
      </c>
      <c r="E133" s="58" t="s">
        <v>19</v>
      </c>
      <c r="F133" s="58"/>
      <c r="G133" s="108">
        <v>4370069766</v>
      </c>
      <c r="H133" s="122" t="s">
        <v>117</v>
      </c>
      <c r="I133" s="161" t="s">
        <v>276</v>
      </c>
      <c r="J133" s="155" t="s">
        <v>119</v>
      </c>
      <c r="K133" s="193">
        <v>300</v>
      </c>
      <c r="L133" s="137"/>
      <c r="M133" s="180">
        <v>130</v>
      </c>
      <c r="N133" s="180">
        <f t="shared" si="2"/>
        <v>39000</v>
      </c>
      <c r="O133" s="134" t="s">
        <v>267</v>
      </c>
      <c r="P133" s="29" t="s">
        <v>268</v>
      </c>
      <c r="Q133" s="29"/>
      <c r="R133" s="135" t="s">
        <v>26</v>
      </c>
    </row>
    <row r="134" spans="1:18" ht="30" hidden="1" customHeight="1">
      <c r="A134" s="11">
        <v>132</v>
      </c>
      <c r="B134" s="57" t="s">
        <v>19</v>
      </c>
      <c r="C134" s="58"/>
      <c r="D134" s="58" t="s">
        <v>144</v>
      </c>
      <c r="E134" s="58" t="s">
        <v>19</v>
      </c>
      <c r="F134" s="58"/>
      <c r="G134" s="108">
        <v>4370069766</v>
      </c>
      <c r="H134" s="109" t="s">
        <v>145</v>
      </c>
      <c r="I134" s="129" t="s">
        <v>277</v>
      </c>
      <c r="J134" s="130" t="s">
        <v>147</v>
      </c>
      <c r="K134" s="130">
        <v>9</v>
      </c>
      <c r="L134" s="131"/>
      <c r="M134" s="179">
        <v>2800</v>
      </c>
      <c r="N134" s="180">
        <f t="shared" si="2"/>
        <v>25200</v>
      </c>
      <c r="O134" s="135" t="s">
        <v>278</v>
      </c>
      <c r="P134" s="29" t="s">
        <v>268</v>
      </c>
      <c r="Q134" s="29"/>
      <c r="R134" s="135" t="s">
        <v>26</v>
      </c>
    </row>
    <row r="135" spans="1:18" ht="30" hidden="1" customHeight="1">
      <c r="A135" s="11">
        <v>133</v>
      </c>
      <c r="B135" s="57" t="s">
        <v>19</v>
      </c>
      <c r="C135" s="58"/>
      <c r="D135" s="12" t="s">
        <v>93</v>
      </c>
      <c r="E135" s="58" t="s">
        <v>19</v>
      </c>
      <c r="F135" s="58"/>
      <c r="G135" s="108">
        <v>4370069766</v>
      </c>
      <c r="H135" s="113" t="s">
        <v>107</v>
      </c>
      <c r="I135" s="117" t="s">
        <v>108</v>
      </c>
      <c r="J135" s="138" t="s">
        <v>66</v>
      </c>
      <c r="K135" s="138">
        <v>7</v>
      </c>
      <c r="L135" s="139"/>
      <c r="M135" s="194">
        <v>3200</v>
      </c>
      <c r="N135" s="180">
        <f t="shared" si="2"/>
        <v>22400</v>
      </c>
      <c r="O135" s="134" t="s">
        <v>269</v>
      </c>
      <c r="P135" s="29" t="s">
        <v>268</v>
      </c>
      <c r="Q135" s="29"/>
      <c r="R135" s="135" t="s">
        <v>26</v>
      </c>
    </row>
    <row r="136" spans="1:18" ht="30" hidden="1" customHeight="1">
      <c r="A136" s="11">
        <v>134</v>
      </c>
      <c r="B136" s="57" t="s">
        <v>19</v>
      </c>
      <c r="C136" s="58"/>
      <c r="D136" s="58" t="s">
        <v>61</v>
      </c>
      <c r="E136" s="58" t="s">
        <v>19</v>
      </c>
      <c r="F136" s="58"/>
      <c r="G136" s="108">
        <v>4370069766</v>
      </c>
      <c r="H136" s="109" t="s">
        <v>62</v>
      </c>
      <c r="I136" s="116"/>
      <c r="J136" s="141" t="s">
        <v>23</v>
      </c>
      <c r="K136" s="141">
        <v>5</v>
      </c>
      <c r="L136" s="139"/>
      <c r="M136" s="194">
        <v>2658</v>
      </c>
      <c r="N136" s="180">
        <f t="shared" si="2"/>
        <v>13290</v>
      </c>
      <c r="O136" s="134" t="s">
        <v>269</v>
      </c>
      <c r="P136" s="29" t="s">
        <v>268</v>
      </c>
      <c r="Q136" s="29"/>
      <c r="R136" s="135" t="s">
        <v>26</v>
      </c>
    </row>
    <row r="137" spans="1:18" ht="30" hidden="1" customHeight="1">
      <c r="A137" s="11">
        <v>135</v>
      </c>
      <c r="B137" s="57" t="s">
        <v>19</v>
      </c>
      <c r="C137" s="58"/>
      <c r="D137" s="58" t="s">
        <v>61</v>
      </c>
      <c r="E137" s="58" t="s">
        <v>19</v>
      </c>
      <c r="F137" s="58"/>
      <c r="G137" s="108">
        <v>4370069766</v>
      </c>
      <c r="H137" s="73" t="s">
        <v>125</v>
      </c>
      <c r="I137" s="129"/>
      <c r="J137" s="136" t="s">
        <v>23</v>
      </c>
      <c r="K137" s="136">
        <v>5</v>
      </c>
      <c r="L137" s="137"/>
      <c r="M137" s="180">
        <v>1900</v>
      </c>
      <c r="N137" s="180">
        <f t="shared" si="2"/>
        <v>9500</v>
      </c>
      <c r="O137" s="134" t="s">
        <v>269</v>
      </c>
      <c r="P137" s="29" t="s">
        <v>268</v>
      </c>
      <c r="Q137" s="29"/>
      <c r="R137" s="135" t="s">
        <v>26</v>
      </c>
    </row>
    <row r="138" spans="1:18" ht="30" hidden="1" customHeight="1">
      <c r="A138" s="11">
        <v>136</v>
      </c>
      <c r="B138" s="57" t="s">
        <v>19</v>
      </c>
      <c r="C138" s="58"/>
      <c r="D138" s="58" t="s">
        <v>20</v>
      </c>
      <c r="E138" s="58" t="s">
        <v>19</v>
      </c>
      <c r="F138" s="58"/>
      <c r="G138" s="108">
        <v>4370069766</v>
      </c>
      <c r="H138" s="109" t="s">
        <v>21</v>
      </c>
      <c r="I138" s="129" t="s">
        <v>22</v>
      </c>
      <c r="J138" s="130" t="s">
        <v>23</v>
      </c>
      <c r="K138" s="130">
        <v>35</v>
      </c>
      <c r="L138" s="131"/>
      <c r="M138" s="179">
        <v>193</v>
      </c>
      <c r="N138" s="180">
        <f t="shared" si="2"/>
        <v>6755</v>
      </c>
      <c r="O138" s="134" t="s">
        <v>279</v>
      </c>
      <c r="P138" s="29" t="s">
        <v>268</v>
      </c>
      <c r="Q138" s="29"/>
      <c r="R138" s="135" t="s">
        <v>26</v>
      </c>
    </row>
    <row r="139" spans="1:18" ht="30" hidden="1" customHeight="1">
      <c r="A139" s="11">
        <v>137</v>
      </c>
      <c r="B139" s="57" t="s">
        <v>19</v>
      </c>
      <c r="C139" s="58"/>
      <c r="D139" s="58" t="s">
        <v>27</v>
      </c>
      <c r="E139" s="58" t="s">
        <v>19</v>
      </c>
      <c r="F139" s="58"/>
      <c r="G139" s="108">
        <v>4370069766</v>
      </c>
      <c r="H139" s="122" t="s">
        <v>136</v>
      </c>
      <c r="I139" s="119" t="s">
        <v>137</v>
      </c>
      <c r="J139" s="130" t="s">
        <v>66</v>
      </c>
      <c r="K139" s="130">
        <v>1</v>
      </c>
      <c r="L139" s="131"/>
      <c r="M139" s="179">
        <v>6500</v>
      </c>
      <c r="N139" s="180">
        <f t="shared" si="2"/>
        <v>6500</v>
      </c>
      <c r="O139" s="134" t="s">
        <v>269</v>
      </c>
      <c r="P139" s="29" t="s">
        <v>268</v>
      </c>
      <c r="Q139" s="29"/>
      <c r="R139" s="135" t="s">
        <v>26</v>
      </c>
    </row>
    <row r="140" spans="1:18" ht="30" hidden="1" customHeight="1">
      <c r="A140" s="11">
        <v>138</v>
      </c>
      <c r="B140" s="57" t="s">
        <v>19</v>
      </c>
      <c r="C140" s="58"/>
      <c r="D140" s="12" t="s">
        <v>93</v>
      </c>
      <c r="E140" s="58" t="s">
        <v>19</v>
      </c>
      <c r="F140" s="58"/>
      <c r="G140" s="108">
        <v>4370069766</v>
      </c>
      <c r="H140" s="109" t="s">
        <v>208</v>
      </c>
      <c r="I140" s="129"/>
      <c r="J140" s="130" t="s">
        <v>34</v>
      </c>
      <c r="K140" s="130">
        <v>7</v>
      </c>
      <c r="L140" s="131"/>
      <c r="M140" s="179">
        <v>500</v>
      </c>
      <c r="N140" s="180">
        <f t="shared" si="2"/>
        <v>3500</v>
      </c>
      <c r="O140" s="134" t="s">
        <v>269</v>
      </c>
      <c r="P140" s="29" t="s">
        <v>268</v>
      </c>
      <c r="Q140" s="29"/>
      <c r="R140" s="135" t="s">
        <v>26</v>
      </c>
    </row>
    <row r="141" spans="1:18" ht="30" hidden="1" customHeight="1">
      <c r="A141" s="11">
        <v>139</v>
      </c>
      <c r="B141" s="57" t="s">
        <v>19</v>
      </c>
      <c r="C141" s="58"/>
      <c r="D141" s="12" t="s">
        <v>93</v>
      </c>
      <c r="E141" s="58" t="s">
        <v>19</v>
      </c>
      <c r="F141" s="58"/>
      <c r="G141" s="108">
        <v>4370069766</v>
      </c>
      <c r="H141" s="116" t="s">
        <v>280</v>
      </c>
      <c r="I141" s="116" t="s">
        <v>281</v>
      </c>
      <c r="J141" s="130" t="s">
        <v>34</v>
      </c>
      <c r="K141" s="141">
        <v>7</v>
      </c>
      <c r="L141" s="139"/>
      <c r="M141" s="194">
        <v>350</v>
      </c>
      <c r="N141" s="180">
        <f t="shared" si="2"/>
        <v>2450</v>
      </c>
      <c r="O141" s="134" t="s">
        <v>24</v>
      </c>
      <c r="P141" s="29" t="s">
        <v>268</v>
      </c>
      <c r="Q141" s="29"/>
      <c r="R141" s="135" t="s">
        <v>26</v>
      </c>
    </row>
    <row r="142" spans="1:18" ht="30" hidden="1" customHeight="1">
      <c r="A142" s="11">
        <v>140</v>
      </c>
      <c r="B142" s="57" t="s">
        <v>19</v>
      </c>
      <c r="C142" s="58"/>
      <c r="D142" s="58" t="s">
        <v>282</v>
      </c>
      <c r="E142" s="58" t="s">
        <v>19</v>
      </c>
      <c r="F142" s="58"/>
      <c r="G142" s="108">
        <v>4370069766</v>
      </c>
      <c r="H142" s="73" t="s">
        <v>283</v>
      </c>
      <c r="I142" s="129"/>
      <c r="J142" s="130" t="s">
        <v>34</v>
      </c>
      <c r="K142" s="130">
        <v>5</v>
      </c>
      <c r="L142" s="131"/>
      <c r="M142" s="179">
        <v>250</v>
      </c>
      <c r="N142" s="180">
        <f t="shared" si="2"/>
        <v>1250</v>
      </c>
      <c r="O142" s="134" t="s">
        <v>24</v>
      </c>
      <c r="P142" s="29" t="s">
        <v>268</v>
      </c>
      <c r="Q142" s="29"/>
      <c r="R142" s="135" t="s">
        <v>26</v>
      </c>
    </row>
    <row r="143" spans="1:18" ht="30" hidden="1" customHeight="1">
      <c r="A143" s="11">
        <v>141</v>
      </c>
      <c r="B143" s="57" t="s">
        <v>19</v>
      </c>
      <c r="C143" s="58"/>
      <c r="D143" s="26"/>
      <c r="E143" s="58" t="s">
        <v>19</v>
      </c>
      <c r="F143" s="58"/>
      <c r="G143" s="108">
        <v>4370069766</v>
      </c>
      <c r="H143" s="73" t="s">
        <v>284</v>
      </c>
      <c r="I143" s="129"/>
      <c r="J143" s="130" t="s">
        <v>46</v>
      </c>
      <c r="K143" s="130">
        <v>7</v>
      </c>
      <c r="L143" s="131"/>
      <c r="M143" s="179">
        <v>21000</v>
      </c>
      <c r="N143" s="180">
        <v>147000</v>
      </c>
      <c r="O143" s="134" t="s">
        <v>269</v>
      </c>
      <c r="P143" s="29" t="s">
        <v>285</v>
      </c>
      <c r="Q143" s="29"/>
      <c r="R143" s="135" t="s">
        <v>26</v>
      </c>
    </row>
    <row r="144" spans="1:18" ht="30" hidden="1" customHeight="1">
      <c r="A144" s="11">
        <v>142</v>
      </c>
      <c r="B144" s="57" t="s">
        <v>19</v>
      </c>
      <c r="C144" s="58"/>
      <c r="D144" s="26"/>
      <c r="E144" s="58" t="s">
        <v>19</v>
      </c>
      <c r="F144" s="58"/>
      <c r="G144" s="108">
        <v>4370069766</v>
      </c>
      <c r="H144" s="73" t="s">
        <v>286</v>
      </c>
      <c r="I144" s="129"/>
      <c r="J144" s="130" t="s">
        <v>46</v>
      </c>
      <c r="K144" s="130">
        <v>7</v>
      </c>
      <c r="L144" s="131"/>
      <c r="M144" s="179">
        <v>0</v>
      </c>
      <c r="N144" s="180">
        <v>0</v>
      </c>
      <c r="O144" s="134" t="s">
        <v>269</v>
      </c>
      <c r="P144" s="29" t="s">
        <v>285</v>
      </c>
      <c r="Q144" s="29"/>
      <c r="R144" s="135" t="s">
        <v>26</v>
      </c>
    </row>
    <row r="145" spans="1:18" ht="30" hidden="1" customHeight="1">
      <c r="A145" s="11">
        <v>143</v>
      </c>
      <c r="B145" s="57" t="s">
        <v>19</v>
      </c>
      <c r="C145" s="58"/>
      <c r="D145" s="12" t="s">
        <v>93</v>
      </c>
      <c r="E145" s="58" t="s">
        <v>19</v>
      </c>
      <c r="F145" s="58"/>
      <c r="G145" s="108">
        <v>4370069766</v>
      </c>
      <c r="H145" s="73" t="s">
        <v>126</v>
      </c>
      <c r="I145" s="129"/>
      <c r="J145" s="130" t="s">
        <v>128</v>
      </c>
      <c r="K145" s="130">
        <v>300</v>
      </c>
      <c r="L145" s="131"/>
      <c r="M145" s="179">
        <v>50</v>
      </c>
      <c r="N145" s="180">
        <v>15000</v>
      </c>
      <c r="O145" s="134" t="s">
        <v>269</v>
      </c>
      <c r="P145" s="29" t="s">
        <v>285</v>
      </c>
      <c r="Q145" s="29"/>
      <c r="R145" s="135" t="s">
        <v>26</v>
      </c>
    </row>
    <row r="146" spans="1:18" ht="30" hidden="1" customHeight="1">
      <c r="A146" s="11">
        <v>144</v>
      </c>
      <c r="B146" s="57" t="s">
        <v>19</v>
      </c>
      <c r="C146" s="58"/>
      <c r="D146" s="58" t="s">
        <v>27</v>
      </c>
      <c r="E146" s="58" t="s">
        <v>19</v>
      </c>
      <c r="F146" s="58"/>
      <c r="G146" s="108">
        <v>4370069766</v>
      </c>
      <c r="H146" s="73" t="s">
        <v>287</v>
      </c>
      <c r="I146" s="129" t="s">
        <v>288</v>
      </c>
      <c r="J146" s="130" t="s">
        <v>23</v>
      </c>
      <c r="K146" s="130">
        <v>20</v>
      </c>
      <c r="L146" s="131"/>
      <c r="M146" s="179">
        <v>500</v>
      </c>
      <c r="N146" s="180">
        <v>10000</v>
      </c>
      <c r="O146" s="134" t="s">
        <v>289</v>
      </c>
      <c r="P146" s="29" t="s">
        <v>285</v>
      </c>
      <c r="Q146" s="29"/>
      <c r="R146" s="135" t="s">
        <v>26</v>
      </c>
    </row>
    <row r="147" spans="1:18" s="99" customFormat="1" ht="30" hidden="1" customHeight="1">
      <c r="A147" s="185">
        <v>145</v>
      </c>
      <c r="B147" s="186" t="s">
        <v>290</v>
      </c>
      <c r="C147" s="187" t="s">
        <v>291</v>
      </c>
      <c r="D147" s="188" t="s">
        <v>292</v>
      </c>
      <c r="E147" s="188"/>
      <c r="F147" s="188"/>
      <c r="G147" s="188" t="s">
        <v>292</v>
      </c>
      <c r="H147" s="189" t="s">
        <v>96</v>
      </c>
      <c r="I147" s="195" t="s">
        <v>293</v>
      </c>
      <c r="J147" s="196" t="s">
        <v>46</v>
      </c>
      <c r="K147" s="196">
        <v>7</v>
      </c>
      <c r="L147" s="197"/>
      <c r="M147" s="197">
        <v>25500</v>
      </c>
      <c r="N147" s="198">
        <v>178500</v>
      </c>
      <c r="O147" s="199" t="s">
        <v>269</v>
      </c>
      <c r="P147" s="200" t="s">
        <v>294</v>
      </c>
      <c r="Q147" s="200"/>
      <c r="R147" s="200"/>
    </row>
    <row r="148" spans="1:18" ht="30" customHeight="1">
      <c r="A148" s="11">
        <v>146</v>
      </c>
      <c r="B148" s="57" t="s">
        <v>19</v>
      </c>
      <c r="C148" s="58">
        <v>46084</v>
      </c>
      <c r="D148" s="26" t="s">
        <v>110</v>
      </c>
      <c r="E148" s="26"/>
      <c r="F148" s="26"/>
      <c r="G148" s="59">
        <v>4370069742</v>
      </c>
      <c r="H148" s="73" t="s">
        <v>271</v>
      </c>
      <c r="I148" s="129" t="s">
        <v>272</v>
      </c>
      <c r="J148" s="130" t="s">
        <v>46</v>
      </c>
      <c r="K148" s="130">
        <v>5</v>
      </c>
      <c r="L148" s="131"/>
      <c r="M148" s="179">
        <v>15000</v>
      </c>
      <c r="N148" s="180">
        <v>75000</v>
      </c>
      <c r="O148" s="135" t="s">
        <v>273</v>
      </c>
      <c r="P148" s="29" t="s">
        <v>294</v>
      </c>
      <c r="Q148" s="29"/>
      <c r="R148" s="135" t="s">
        <v>26</v>
      </c>
    </row>
    <row r="149" spans="1:18" ht="30" customHeight="1">
      <c r="A149" s="11">
        <v>147</v>
      </c>
      <c r="B149" s="57" t="s">
        <v>19</v>
      </c>
      <c r="C149" s="120"/>
      <c r="D149" s="58" t="s">
        <v>144</v>
      </c>
      <c r="E149" s="120"/>
      <c r="F149" s="120"/>
      <c r="G149" s="59">
        <v>4370069742</v>
      </c>
      <c r="H149" s="73" t="s">
        <v>145</v>
      </c>
      <c r="I149" s="129" t="s">
        <v>277</v>
      </c>
      <c r="J149" s="130" t="s">
        <v>147</v>
      </c>
      <c r="K149" s="130">
        <v>9</v>
      </c>
      <c r="L149" s="131"/>
      <c r="M149" s="179">
        <v>2800</v>
      </c>
      <c r="N149" s="180">
        <v>25200</v>
      </c>
      <c r="O149" s="135" t="s">
        <v>295</v>
      </c>
      <c r="P149" s="29" t="s">
        <v>294</v>
      </c>
      <c r="Q149" s="29"/>
      <c r="R149" s="135" t="s">
        <v>26</v>
      </c>
    </row>
    <row r="150" spans="1:18" s="99" customFormat="1" ht="30" hidden="1" customHeight="1">
      <c r="A150" s="185">
        <v>148</v>
      </c>
      <c r="B150" s="186" t="s">
        <v>290</v>
      </c>
      <c r="C150" s="187" t="s">
        <v>291</v>
      </c>
      <c r="D150" s="188" t="s">
        <v>292</v>
      </c>
      <c r="E150" s="187"/>
      <c r="F150" s="187"/>
      <c r="G150" s="187" t="s">
        <v>292</v>
      </c>
      <c r="H150" s="189" t="s">
        <v>107</v>
      </c>
      <c r="I150" s="195" t="s">
        <v>108</v>
      </c>
      <c r="J150" s="196" t="s">
        <v>66</v>
      </c>
      <c r="K150" s="196">
        <v>7</v>
      </c>
      <c r="L150" s="197"/>
      <c r="M150" s="197">
        <v>3200</v>
      </c>
      <c r="N150" s="198">
        <v>22400</v>
      </c>
      <c r="O150" s="199" t="s">
        <v>269</v>
      </c>
      <c r="P150" s="200" t="s">
        <v>294</v>
      </c>
      <c r="Q150" s="200"/>
      <c r="R150" s="200"/>
    </row>
    <row r="151" spans="1:18" ht="30" customHeight="1">
      <c r="A151" s="11">
        <v>149</v>
      </c>
      <c r="B151" s="57" t="s">
        <v>19</v>
      </c>
      <c r="C151" s="58"/>
      <c r="D151" s="58" t="s">
        <v>61</v>
      </c>
      <c r="E151" s="58" t="s">
        <v>19</v>
      </c>
      <c r="F151" s="58"/>
      <c r="G151" s="59">
        <v>4370069742</v>
      </c>
      <c r="H151" s="109" t="s">
        <v>62</v>
      </c>
      <c r="I151" s="129"/>
      <c r="J151" s="130" t="s">
        <v>23</v>
      </c>
      <c r="K151" s="130">
        <v>5</v>
      </c>
      <c r="L151" s="131"/>
      <c r="M151" s="179">
        <v>2658</v>
      </c>
      <c r="N151" s="180">
        <v>13290</v>
      </c>
      <c r="O151" s="134" t="s">
        <v>269</v>
      </c>
      <c r="P151" s="29" t="s">
        <v>294</v>
      </c>
      <c r="Q151" s="29"/>
      <c r="R151" s="135" t="s">
        <v>26</v>
      </c>
    </row>
    <row r="152" spans="1:18" ht="30" customHeight="1">
      <c r="A152" s="11">
        <v>150</v>
      </c>
      <c r="B152" s="57" t="s">
        <v>19</v>
      </c>
      <c r="C152" s="58"/>
      <c r="D152" s="58" t="s">
        <v>61</v>
      </c>
      <c r="E152" s="58" t="s">
        <v>19</v>
      </c>
      <c r="F152" s="58"/>
      <c r="G152" s="59">
        <v>4370069742</v>
      </c>
      <c r="H152" s="73" t="s">
        <v>125</v>
      </c>
      <c r="I152" s="129"/>
      <c r="J152" s="130" t="s">
        <v>23</v>
      </c>
      <c r="K152" s="130">
        <v>5</v>
      </c>
      <c r="L152" s="131"/>
      <c r="M152" s="179">
        <v>1900</v>
      </c>
      <c r="N152" s="180">
        <v>9500</v>
      </c>
      <c r="O152" s="134" t="s">
        <v>269</v>
      </c>
      <c r="P152" s="29" t="s">
        <v>294</v>
      </c>
      <c r="Q152" s="29"/>
      <c r="R152" s="135" t="s">
        <v>26</v>
      </c>
    </row>
    <row r="153" spans="1:18" ht="30" customHeight="1">
      <c r="A153" s="11">
        <v>151</v>
      </c>
      <c r="B153" s="57" t="s">
        <v>19</v>
      </c>
      <c r="C153" s="58"/>
      <c r="D153" s="58" t="s">
        <v>20</v>
      </c>
      <c r="E153" s="58" t="s">
        <v>19</v>
      </c>
      <c r="F153" s="58"/>
      <c r="G153" s="59">
        <v>4370069742</v>
      </c>
      <c r="H153" s="73" t="s">
        <v>21</v>
      </c>
      <c r="I153" s="129" t="s">
        <v>22</v>
      </c>
      <c r="J153" s="130" t="s">
        <v>23</v>
      </c>
      <c r="K153" s="130">
        <v>35</v>
      </c>
      <c r="L153" s="131"/>
      <c r="M153" s="179">
        <v>193</v>
      </c>
      <c r="N153" s="180">
        <v>6755</v>
      </c>
      <c r="O153" s="134" t="s">
        <v>279</v>
      </c>
      <c r="P153" s="29" t="s">
        <v>294</v>
      </c>
      <c r="Q153" s="29"/>
      <c r="R153" s="135" t="s">
        <v>26</v>
      </c>
    </row>
    <row r="154" spans="1:18" ht="30" customHeight="1">
      <c r="A154" s="11">
        <v>152</v>
      </c>
      <c r="B154" s="57" t="s">
        <v>19</v>
      </c>
      <c r="C154" s="58"/>
      <c r="D154" s="12" t="s">
        <v>93</v>
      </c>
      <c r="E154" s="58" t="s">
        <v>19</v>
      </c>
      <c r="F154" s="58"/>
      <c r="G154" s="59">
        <v>4370069742</v>
      </c>
      <c r="H154" s="73" t="s">
        <v>208</v>
      </c>
      <c r="I154" s="129"/>
      <c r="J154" s="130" t="s">
        <v>34</v>
      </c>
      <c r="K154" s="130">
        <v>7</v>
      </c>
      <c r="L154" s="131"/>
      <c r="M154" s="179">
        <v>500</v>
      </c>
      <c r="N154" s="180">
        <v>3500</v>
      </c>
      <c r="O154" s="134" t="s">
        <v>269</v>
      </c>
      <c r="P154" s="29" t="s">
        <v>294</v>
      </c>
      <c r="Q154" s="29"/>
      <c r="R154" s="135" t="s">
        <v>26</v>
      </c>
    </row>
    <row r="155" spans="1:18" ht="30" customHeight="1">
      <c r="A155" s="11">
        <v>153</v>
      </c>
      <c r="B155" s="57" t="s">
        <v>19</v>
      </c>
      <c r="C155" s="58"/>
      <c r="D155" s="12" t="s">
        <v>93</v>
      </c>
      <c r="E155" s="58" t="s">
        <v>19</v>
      </c>
      <c r="F155" s="58"/>
      <c r="G155" s="59">
        <v>4370069742</v>
      </c>
      <c r="H155" s="73" t="s">
        <v>280</v>
      </c>
      <c r="I155" s="129" t="s">
        <v>281</v>
      </c>
      <c r="J155" s="130" t="s">
        <v>34</v>
      </c>
      <c r="K155" s="130">
        <v>7</v>
      </c>
      <c r="L155" s="131"/>
      <c r="M155" s="179">
        <v>350</v>
      </c>
      <c r="N155" s="180">
        <v>2450</v>
      </c>
      <c r="O155" s="134" t="s">
        <v>24</v>
      </c>
      <c r="P155" s="29" t="s">
        <v>294</v>
      </c>
      <c r="Q155" s="29"/>
      <c r="R155" s="135" t="s">
        <v>26</v>
      </c>
    </row>
    <row r="156" spans="1:18" s="99" customFormat="1" ht="30" hidden="1" customHeight="1">
      <c r="A156" s="185">
        <v>154</v>
      </c>
      <c r="B156" s="186" t="s">
        <v>290</v>
      </c>
      <c r="C156" s="187" t="s">
        <v>291</v>
      </c>
      <c r="D156" s="190" t="s">
        <v>292</v>
      </c>
      <c r="E156" s="187"/>
      <c r="F156" s="187"/>
      <c r="G156" s="187" t="s">
        <v>292</v>
      </c>
      <c r="H156" s="189" t="s">
        <v>284</v>
      </c>
      <c r="I156" s="195"/>
      <c r="J156" s="196" t="s">
        <v>46</v>
      </c>
      <c r="K156" s="196">
        <v>7</v>
      </c>
      <c r="L156" s="197"/>
      <c r="M156" s="197">
        <v>21000</v>
      </c>
      <c r="N156" s="198">
        <v>147000</v>
      </c>
      <c r="O156" s="199" t="s">
        <v>269</v>
      </c>
      <c r="P156" s="200" t="s">
        <v>294</v>
      </c>
      <c r="Q156" s="200"/>
      <c r="R156" s="200"/>
    </row>
    <row r="157" spans="1:18" s="99" customFormat="1" ht="30" hidden="1" customHeight="1">
      <c r="A157" s="185">
        <v>155</v>
      </c>
      <c r="B157" s="186" t="s">
        <v>290</v>
      </c>
      <c r="C157" s="187" t="s">
        <v>291</v>
      </c>
      <c r="D157" s="190" t="s">
        <v>292</v>
      </c>
      <c r="E157" s="187"/>
      <c r="F157" s="187"/>
      <c r="G157" s="187" t="s">
        <v>292</v>
      </c>
      <c r="H157" s="189" t="s">
        <v>286</v>
      </c>
      <c r="I157" s="195"/>
      <c r="J157" s="196" t="s">
        <v>46</v>
      </c>
      <c r="K157" s="196">
        <v>7</v>
      </c>
      <c r="L157" s="197"/>
      <c r="M157" s="197">
        <v>0</v>
      </c>
      <c r="N157" s="198">
        <v>0</v>
      </c>
      <c r="O157" s="199" t="s">
        <v>269</v>
      </c>
      <c r="P157" s="200" t="s">
        <v>294</v>
      </c>
      <c r="Q157" s="200"/>
      <c r="R157" s="200"/>
    </row>
    <row r="158" spans="1:18" ht="30" customHeight="1">
      <c r="A158" s="11">
        <v>156</v>
      </c>
      <c r="B158" s="57" t="s">
        <v>19</v>
      </c>
      <c r="C158" s="58"/>
      <c r="D158" s="12" t="s">
        <v>93</v>
      </c>
      <c r="E158" s="12" t="s">
        <v>19</v>
      </c>
      <c r="F158" s="12"/>
      <c r="G158" s="59">
        <v>4370069742</v>
      </c>
      <c r="H158" s="73" t="s">
        <v>126</v>
      </c>
      <c r="I158" s="129"/>
      <c r="J158" s="130" t="s">
        <v>128</v>
      </c>
      <c r="K158" s="130">
        <v>300</v>
      </c>
      <c r="L158" s="131"/>
      <c r="M158" s="179">
        <v>50</v>
      </c>
      <c r="N158" s="180">
        <v>15000</v>
      </c>
      <c r="O158" s="134" t="s">
        <v>269</v>
      </c>
      <c r="P158" s="29" t="s">
        <v>294</v>
      </c>
      <c r="Q158" s="29"/>
      <c r="R158" s="135" t="s">
        <v>26</v>
      </c>
    </row>
    <row r="159" spans="1:18" ht="30" customHeight="1">
      <c r="A159" s="11">
        <v>157</v>
      </c>
      <c r="B159" s="57" t="s">
        <v>19</v>
      </c>
      <c r="C159" s="58"/>
      <c r="D159" s="58" t="s">
        <v>27</v>
      </c>
      <c r="E159" s="58" t="s">
        <v>19</v>
      </c>
      <c r="F159" s="58"/>
      <c r="G159" s="59">
        <v>4370069742</v>
      </c>
      <c r="H159" s="73" t="s">
        <v>296</v>
      </c>
      <c r="I159" s="129"/>
      <c r="J159" s="130" t="s">
        <v>151</v>
      </c>
      <c r="K159" s="130">
        <v>100</v>
      </c>
      <c r="L159" s="131"/>
      <c r="M159" s="179">
        <v>60</v>
      </c>
      <c r="N159" s="180">
        <v>6000</v>
      </c>
      <c r="O159" s="134" t="s">
        <v>24</v>
      </c>
      <c r="P159" s="29" t="s">
        <v>294</v>
      </c>
      <c r="Q159" s="29"/>
      <c r="R159" s="135" t="s">
        <v>26</v>
      </c>
    </row>
    <row r="160" spans="1:18" ht="30" hidden="1" customHeight="1">
      <c r="A160" s="11">
        <v>158</v>
      </c>
      <c r="B160" s="57" t="s">
        <v>19</v>
      </c>
      <c r="C160" s="58"/>
      <c r="D160" s="12" t="s">
        <v>93</v>
      </c>
      <c r="E160" s="58" t="s">
        <v>19</v>
      </c>
      <c r="F160" s="58"/>
      <c r="G160" s="108"/>
      <c r="H160" s="73" t="s">
        <v>169</v>
      </c>
      <c r="I160" s="129" t="s">
        <v>170</v>
      </c>
      <c r="J160" s="130" t="s">
        <v>46</v>
      </c>
      <c r="K160" s="130">
        <v>2</v>
      </c>
      <c r="L160" s="131"/>
      <c r="M160" s="179">
        <v>36000</v>
      </c>
      <c r="N160" s="180">
        <v>72000</v>
      </c>
      <c r="O160" s="134" t="s">
        <v>24</v>
      </c>
      <c r="P160" s="29" t="s">
        <v>297</v>
      </c>
      <c r="Q160" s="29"/>
      <c r="R160" s="135" t="s">
        <v>26</v>
      </c>
    </row>
    <row r="161" spans="1:18" ht="30" hidden="1" customHeight="1">
      <c r="A161" s="11">
        <v>159</v>
      </c>
      <c r="B161" s="57" t="s">
        <v>19</v>
      </c>
      <c r="C161" s="58"/>
      <c r="D161" s="12" t="s">
        <v>93</v>
      </c>
      <c r="E161" s="58" t="s">
        <v>19</v>
      </c>
      <c r="F161" s="58"/>
      <c r="G161" s="108"/>
      <c r="H161" s="73" t="s">
        <v>169</v>
      </c>
      <c r="I161" s="129" t="s">
        <v>170</v>
      </c>
      <c r="J161" s="130" t="s">
        <v>46</v>
      </c>
      <c r="K161" s="130">
        <v>2</v>
      </c>
      <c r="L161" s="131"/>
      <c r="M161" s="179">
        <v>36000</v>
      </c>
      <c r="N161" s="180">
        <v>72000</v>
      </c>
      <c r="O161" s="134" t="s">
        <v>298</v>
      </c>
      <c r="P161" s="29" t="s">
        <v>299</v>
      </c>
      <c r="Q161" s="29"/>
      <c r="R161" s="135" t="s">
        <v>26</v>
      </c>
    </row>
    <row r="162" spans="1:18" ht="30" hidden="1" customHeight="1">
      <c r="A162" s="11">
        <v>160</v>
      </c>
      <c r="B162" s="57" t="s">
        <v>19</v>
      </c>
      <c r="C162" s="58">
        <v>46083</v>
      </c>
      <c r="D162" s="12" t="s">
        <v>93</v>
      </c>
      <c r="E162" s="58"/>
      <c r="F162" s="58"/>
      <c r="G162" s="108"/>
      <c r="H162" s="73" t="s">
        <v>169</v>
      </c>
      <c r="I162" s="129" t="s">
        <v>170</v>
      </c>
      <c r="J162" s="130" t="s">
        <v>46</v>
      </c>
      <c r="K162" s="130">
        <v>2</v>
      </c>
      <c r="L162" s="131"/>
      <c r="M162" s="179">
        <v>36000</v>
      </c>
      <c r="N162" s="180">
        <v>72000</v>
      </c>
      <c r="O162" s="134" t="s">
        <v>300</v>
      </c>
      <c r="P162" s="29" t="s">
        <v>301</v>
      </c>
      <c r="Q162" s="29"/>
      <c r="R162" s="135" t="s">
        <v>26</v>
      </c>
    </row>
    <row r="163" spans="1:18" ht="30" hidden="1" customHeight="1">
      <c r="A163" s="11">
        <v>161</v>
      </c>
      <c r="B163" s="57" t="s">
        <v>19</v>
      </c>
      <c r="C163" s="58">
        <v>46086</v>
      </c>
      <c r="D163" s="58" t="s">
        <v>141</v>
      </c>
      <c r="E163" s="58"/>
      <c r="F163" s="58"/>
      <c r="G163" s="108">
        <v>4370069722</v>
      </c>
      <c r="H163" s="73" t="s">
        <v>302</v>
      </c>
      <c r="I163" s="129" t="s">
        <v>303</v>
      </c>
      <c r="J163" s="130" t="s">
        <v>119</v>
      </c>
      <c r="K163" s="130">
        <v>50</v>
      </c>
      <c r="L163" s="131"/>
      <c r="M163" s="179">
        <v>380</v>
      </c>
      <c r="N163" s="180">
        <v>19000</v>
      </c>
      <c r="O163" s="134" t="s">
        <v>24</v>
      </c>
      <c r="P163" s="29" t="s">
        <v>304</v>
      </c>
      <c r="Q163" s="29"/>
      <c r="R163" s="135" t="s">
        <v>26</v>
      </c>
    </row>
    <row r="164" spans="1:18" ht="30" hidden="1" customHeight="1">
      <c r="A164" s="11">
        <v>162</v>
      </c>
      <c r="B164" s="57" t="s">
        <v>19</v>
      </c>
      <c r="C164" s="58">
        <v>46090</v>
      </c>
      <c r="D164" s="58" t="s">
        <v>152</v>
      </c>
      <c r="E164" s="58"/>
      <c r="F164" s="58"/>
      <c r="G164" s="108">
        <v>4370069722</v>
      </c>
      <c r="H164" s="73" t="s">
        <v>305</v>
      </c>
      <c r="I164" s="129" t="s">
        <v>306</v>
      </c>
      <c r="J164" s="130" t="s">
        <v>155</v>
      </c>
      <c r="K164" s="130">
        <v>16</v>
      </c>
      <c r="L164" s="131"/>
      <c r="M164" s="179">
        <v>300</v>
      </c>
      <c r="N164" s="180">
        <v>4800</v>
      </c>
      <c r="O164" s="134" t="s">
        <v>24</v>
      </c>
      <c r="P164" s="29" t="s">
        <v>304</v>
      </c>
      <c r="Q164" s="29"/>
      <c r="R164" s="135" t="s">
        <v>26</v>
      </c>
    </row>
    <row r="165" spans="1:18" ht="30" hidden="1" customHeight="1">
      <c r="A165" s="11">
        <v>163</v>
      </c>
      <c r="B165" s="57" t="s">
        <v>19</v>
      </c>
      <c r="C165" s="58">
        <v>46090</v>
      </c>
      <c r="D165" s="58" t="s">
        <v>152</v>
      </c>
      <c r="E165" s="58"/>
      <c r="F165" s="58"/>
      <c r="G165" s="108">
        <v>4370069722</v>
      </c>
      <c r="H165" s="73" t="s">
        <v>305</v>
      </c>
      <c r="I165" s="129" t="s">
        <v>307</v>
      </c>
      <c r="J165" s="130" t="s">
        <v>155</v>
      </c>
      <c r="K165" s="130">
        <v>7</v>
      </c>
      <c r="L165" s="131"/>
      <c r="M165" s="179">
        <v>450</v>
      </c>
      <c r="N165" s="180">
        <v>3150</v>
      </c>
      <c r="O165" s="134" t="s">
        <v>24</v>
      </c>
      <c r="P165" s="29" t="s">
        <v>304</v>
      </c>
      <c r="Q165" s="29"/>
      <c r="R165" s="135" t="s">
        <v>26</v>
      </c>
    </row>
    <row r="166" spans="1:18" ht="30" hidden="1" customHeight="1">
      <c r="A166" s="11">
        <v>164</v>
      </c>
      <c r="B166" s="107" t="s">
        <v>19</v>
      </c>
      <c r="C166" s="58">
        <v>46087</v>
      </c>
      <c r="D166" s="28" t="s">
        <v>308</v>
      </c>
      <c r="E166" s="58"/>
      <c r="F166" s="58"/>
      <c r="G166" s="108">
        <v>4370069722</v>
      </c>
      <c r="H166" s="73" t="s">
        <v>309</v>
      </c>
      <c r="I166" s="129" t="s">
        <v>310</v>
      </c>
      <c r="J166" s="130" t="s">
        <v>34</v>
      </c>
      <c r="K166" s="130">
        <v>2</v>
      </c>
      <c r="L166" s="131"/>
      <c r="M166" s="179">
        <v>200</v>
      </c>
      <c r="N166" s="180">
        <v>400</v>
      </c>
      <c r="O166" s="134" t="s">
        <v>24</v>
      </c>
      <c r="P166" s="29" t="s">
        <v>304</v>
      </c>
      <c r="Q166" s="29"/>
      <c r="R166" s="135" t="s">
        <v>26</v>
      </c>
    </row>
    <row r="167" spans="1:18" ht="30" hidden="1" customHeight="1">
      <c r="A167" s="11">
        <v>165</v>
      </c>
      <c r="B167" s="107" t="s">
        <v>19</v>
      </c>
      <c r="C167" s="58">
        <v>46087</v>
      </c>
      <c r="D167" s="28" t="s">
        <v>311</v>
      </c>
      <c r="E167" s="58"/>
      <c r="F167" s="58"/>
      <c r="G167" s="108">
        <v>4370069722</v>
      </c>
      <c r="H167" s="73" t="s">
        <v>312</v>
      </c>
      <c r="I167" s="129"/>
      <c r="J167" s="130" t="s">
        <v>34</v>
      </c>
      <c r="K167" s="130">
        <v>2</v>
      </c>
      <c r="L167" s="131"/>
      <c r="M167" s="179">
        <v>100</v>
      </c>
      <c r="N167" s="180">
        <v>200</v>
      </c>
      <c r="O167" s="134" t="s">
        <v>24</v>
      </c>
      <c r="P167" s="29" t="s">
        <v>304</v>
      </c>
      <c r="Q167" s="29"/>
      <c r="R167" s="135" t="s">
        <v>26</v>
      </c>
    </row>
    <row r="168" spans="1:18" ht="30" hidden="1" customHeight="1">
      <c r="A168" s="11">
        <v>166</v>
      </c>
      <c r="B168" s="57" t="s">
        <v>19</v>
      </c>
      <c r="C168" s="58">
        <v>46086</v>
      </c>
      <c r="D168" s="28" t="s">
        <v>313</v>
      </c>
      <c r="E168" s="58"/>
      <c r="F168" s="58"/>
      <c r="G168" s="108">
        <v>4370069722</v>
      </c>
      <c r="H168" s="73" t="s">
        <v>314</v>
      </c>
      <c r="I168" s="129" t="s">
        <v>315</v>
      </c>
      <c r="J168" s="130" t="s">
        <v>316</v>
      </c>
      <c r="K168" s="130">
        <v>1</v>
      </c>
      <c r="L168" s="131"/>
      <c r="M168" s="179">
        <v>1200</v>
      </c>
      <c r="N168" s="180">
        <v>1200</v>
      </c>
      <c r="O168" s="134" t="s">
        <v>24</v>
      </c>
      <c r="P168" s="29" t="s">
        <v>304</v>
      </c>
      <c r="Q168" s="29"/>
      <c r="R168" s="135" t="s">
        <v>26</v>
      </c>
    </row>
    <row r="169" spans="1:18" ht="30" hidden="1" customHeight="1">
      <c r="A169" s="11">
        <v>167</v>
      </c>
      <c r="B169" s="79" t="s">
        <v>19</v>
      </c>
      <c r="C169" s="28"/>
      <c r="D169" s="58" t="s">
        <v>27</v>
      </c>
      <c r="E169" s="58"/>
      <c r="F169" s="58"/>
      <c r="G169" s="108">
        <v>4370069722</v>
      </c>
      <c r="H169" s="73" t="s">
        <v>317</v>
      </c>
      <c r="I169" s="129"/>
      <c r="J169" s="130" t="s">
        <v>151</v>
      </c>
      <c r="K169" s="130">
        <v>150</v>
      </c>
      <c r="L169" s="131"/>
      <c r="M169" s="179">
        <v>60</v>
      </c>
      <c r="N169" s="180">
        <v>9000</v>
      </c>
      <c r="O169" s="134"/>
      <c r="P169" s="29" t="s">
        <v>304</v>
      </c>
      <c r="Q169" s="29"/>
      <c r="R169" s="135" t="s">
        <v>26</v>
      </c>
    </row>
    <row r="170" spans="1:18" ht="30" hidden="1" customHeight="1">
      <c r="A170" s="11">
        <v>168</v>
      </c>
      <c r="B170" s="57" t="s">
        <v>19</v>
      </c>
      <c r="C170" s="58"/>
      <c r="D170" s="58" t="s">
        <v>27</v>
      </c>
      <c r="E170" s="58" t="s">
        <v>19</v>
      </c>
      <c r="F170" s="58"/>
      <c r="G170" s="108">
        <v>4370069722</v>
      </c>
      <c r="H170" s="73" t="s">
        <v>317</v>
      </c>
      <c r="I170" s="129"/>
      <c r="J170" s="130" t="s">
        <v>151</v>
      </c>
      <c r="K170" s="130">
        <v>100</v>
      </c>
      <c r="L170" s="131"/>
      <c r="M170" s="179">
        <v>60</v>
      </c>
      <c r="N170" s="180">
        <v>6000</v>
      </c>
      <c r="O170" s="134"/>
      <c r="P170" s="29" t="s">
        <v>304</v>
      </c>
      <c r="Q170" s="29"/>
      <c r="R170" s="135" t="s">
        <v>26</v>
      </c>
    </row>
    <row r="171" spans="1:18" ht="30" hidden="1" customHeight="1">
      <c r="A171" s="11">
        <v>169</v>
      </c>
      <c r="B171" s="57" t="s">
        <v>19</v>
      </c>
      <c r="C171" s="58"/>
      <c r="D171" s="58" t="s">
        <v>61</v>
      </c>
      <c r="E171" s="58" t="s">
        <v>19</v>
      </c>
      <c r="F171" s="58"/>
      <c r="G171" s="108">
        <v>4370069865</v>
      </c>
      <c r="H171" s="73" t="s">
        <v>125</v>
      </c>
      <c r="I171" s="129" t="s">
        <v>318</v>
      </c>
      <c r="J171" s="130" t="s">
        <v>23</v>
      </c>
      <c r="K171" s="130">
        <v>20</v>
      </c>
      <c r="L171" s="131"/>
      <c r="M171" s="179">
        <v>1900</v>
      </c>
      <c r="N171" s="180">
        <v>38000</v>
      </c>
      <c r="O171" s="134" t="s">
        <v>319</v>
      </c>
      <c r="P171" s="29" t="s">
        <v>320</v>
      </c>
      <c r="Q171" s="29"/>
      <c r="R171" s="135" t="s">
        <v>26</v>
      </c>
    </row>
    <row r="172" spans="1:18" ht="30" hidden="1" customHeight="1">
      <c r="A172" s="11">
        <v>170</v>
      </c>
      <c r="B172" s="57" t="s">
        <v>19</v>
      </c>
      <c r="C172" s="58">
        <v>46083</v>
      </c>
      <c r="D172" s="12" t="s">
        <v>93</v>
      </c>
      <c r="E172" s="58"/>
      <c r="F172" s="58"/>
      <c r="G172" s="108" t="s">
        <v>321</v>
      </c>
      <c r="H172" s="73" t="s">
        <v>131</v>
      </c>
      <c r="I172" s="129" t="s">
        <v>322</v>
      </c>
      <c r="J172" s="130" t="s">
        <v>66</v>
      </c>
      <c r="K172" s="130">
        <v>5</v>
      </c>
      <c r="L172" s="131"/>
      <c r="M172" s="179">
        <v>810</v>
      </c>
      <c r="N172" s="180">
        <v>4050</v>
      </c>
      <c r="O172" s="134" t="s">
        <v>24</v>
      </c>
      <c r="P172" s="29" t="s">
        <v>323</v>
      </c>
      <c r="Q172" s="29"/>
      <c r="R172" s="135" t="s">
        <v>26</v>
      </c>
    </row>
    <row r="173" spans="1:18" ht="30" hidden="1" customHeight="1">
      <c r="A173" s="11">
        <v>171</v>
      </c>
      <c r="B173" s="57" t="s">
        <v>19</v>
      </c>
      <c r="C173" s="58">
        <v>46083</v>
      </c>
      <c r="D173" s="12" t="s">
        <v>93</v>
      </c>
      <c r="E173" s="58"/>
      <c r="F173" s="58"/>
      <c r="G173" s="108" t="s">
        <v>321</v>
      </c>
      <c r="H173" s="73" t="s">
        <v>131</v>
      </c>
      <c r="I173" s="129" t="s">
        <v>324</v>
      </c>
      <c r="J173" s="130" t="s">
        <v>66</v>
      </c>
      <c r="K173" s="130">
        <v>5</v>
      </c>
      <c r="L173" s="131"/>
      <c r="M173" s="179">
        <v>994</v>
      </c>
      <c r="N173" s="180">
        <v>4970</v>
      </c>
      <c r="O173" s="134" t="s">
        <v>24</v>
      </c>
      <c r="P173" s="29" t="s">
        <v>323</v>
      </c>
      <c r="Q173" s="29"/>
      <c r="R173" s="135" t="s">
        <v>26</v>
      </c>
    </row>
    <row r="174" spans="1:18" ht="30" hidden="1" customHeight="1">
      <c r="A174" s="11">
        <v>172</v>
      </c>
      <c r="B174" s="57" t="s">
        <v>19</v>
      </c>
      <c r="C174" s="58">
        <v>46083</v>
      </c>
      <c r="D174" s="12" t="s">
        <v>93</v>
      </c>
      <c r="E174" s="12"/>
      <c r="F174" s="12"/>
      <c r="G174" s="108" t="s">
        <v>321</v>
      </c>
      <c r="H174" s="73" t="s">
        <v>325</v>
      </c>
      <c r="I174" s="129" t="s">
        <v>326</v>
      </c>
      <c r="J174" s="130" t="s">
        <v>34</v>
      </c>
      <c r="K174" s="130">
        <v>50</v>
      </c>
      <c r="L174" s="131"/>
      <c r="M174" s="179">
        <v>10</v>
      </c>
      <c r="N174" s="180">
        <v>500</v>
      </c>
      <c r="O174" s="134" t="s">
        <v>24</v>
      </c>
      <c r="P174" s="29" t="s">
        <v>323</v>
      </c>
      <c r="Q174" s="29"/>
      <c r="R174" s="135" t="s">
        <v>26</v>
      </c>
    </row>
    <row r="175" spans="1:18" ht="30" hidden="1" customHeight="1">
      <c r="A175" s="11">
        <v>173</v>
      </c>
      <c r="B175" s="57" t="s">
        <v>19</v>
      </c>
      <c r="C175" s="28">
        <v>46085</v>
      </c>
      <c r="D175" s="58" t="s">
        <v>27</v>
      </c>
      <c r="E175" s="28"/>
      <c r="F175" s="28"/>
      <c r="G175" s="108" t="s">
        <v>321</v>
      </c>
      <c r="H175" s="73" t="s">
        <v>113</v>
      </c>
      <c r="I175" s="153" t="s">
        <v>327</v>
      </c>
      <c r="J175" s="130" t="s">
        <v>115</v>
      </c>
      <c r="K175" s="130">
        <v>240</v>
      </c>
      <c r="L175" s="131"/>
      <c r="M175" s="179">
        <v>150</v>
      </c>
      <c r="N175" s="180">
        <v>36000</v>
      </c>
      <c r="O175" s="134" t="s">
        <v>24</v>
      </c>
      <c r="P175" s="29" t="s">
        <v>323</v>
      </c>
      <c r="Q175" s="29"/>
      <c r="R175" s="135" t="s">
        <v>26</v>
      </c>
    </row>
    <row r="176" spans="1:18" ht="30" hidden="1" customHeight="1">
      <c r="A176" s="11">
        <v>174</v>
      </c>
      <c r="B176" s="57" t="s">
        <v>19</v>
      </c>
      <c r="C176" s="58">
        <v>46079</v>
      </c>
      <c r="D176" s="58" t="s">
        <v>116</v>
      </c>
      <c r="E176" s="58" t="s">
        <v>19</v>
      </c>
      <c r="F176" s="58"/>
      <c r="G176" s="108" t="s">
        <v>321</v>
      </c>
      <c r="H176" s="73" t="s">
        <v>117</v>
      </c>
      <c r="I176" s="153" t="s">
        <v>328</v>
      </c>
      <c r="J176" s="130" t="s">
        <v>119</v>
      </c>
      <c r="K176" s="130">
        <v>290</v>
      </c>
      <c r="L176" s="131"/>
      <c r="M176" s="179">
        <v>135</v>
      </c>
      <c r="N176" s="180">
        <v>39150</v>
      </c>
      <c r="O176" s="134" t="s">
        <v>24</v>
      </c>
      <c r="P176" s="29" t="s">
        <v>323</v>
      </c>
      <c r="Q176" s="29"/>
      <c r="R176" s="135" t="s">
        <v>26</v>
      </c>
    </row>
    <row r="177" spans="1:18" ht="30" hidden="1" customHeight="1">
      <c r="A177" s="11">
        <v>175</v>
      </c>
      <c r="B177" s="57" t="s">
        <v>19</v>
      </c>
      <c r="C177" s="58">
        <v>46078</v>
      </c>
      <c r="D177" s="58" t="s">
        <v>61</v>
      </c>
      <c r="E177" s="58" t="s">
        <v>19</v>
      </c>
      <c r="F177" s="58"/>
      <c r="G177" s="108" t="s">
        <v>321</v>
      </c>
      <c r="H177" s="73" t="s">
        <v>125</v>
      </c>
      <c r="I177" s="129" t="s">
        <v>318</v>
      </c>
      <c r="J177" s="130" t="s">
        <v>23</v>
      </c>
      <c r="K177" s="130">
        <v>30</v>
      </c>
      <c r="L177" s="131"/>
      <c r="M177" s="179">
        <v>1900</v>
      </c>
      <c r="N177" s="180">
        <v>57000</v>
      </c>
      <c r="O177" s="134" t="s">
        <v>329</v>
      </c>
      <c r="P177" s="29" t="s">
        <v>323</v>
      </c>
      <c r="Q177" s="29"/>
      <c r="R177" s="135" t="s">
        <v>26</v>
      </c>
    </row>
    <row r="178" spans="1:18" ht="30" hidden="1" customHeight="1">
      <c r="A178" s="11">
        <v>176</v>
      </c>
      <c r="B178" s="57" t="s">
        <v>19</v>
      </c>
      <c r="C178" s="58">
        <v>46092</v>
      </c>
      <c r="D178" s="58" t="s">
        <v>27</v>
      </c>
      <c r="E178" s="58"/>
      <c r="F178" s="58"/>
      <c r="G178" s="108" t="s">
        <v>321</v>
      </c>
      <c r="H178" s="73" t="s">
        <v>176</v>
      </c>
      <c r="I178" s="129"/>
      <c r="J178" s="155" t="s">
        <v>46</v>
      </c>
      <c r="K178" s="130">
        <v>30</v>
      </c>
      <c r="L178" s="131"/>
      <c r="M178" s="179">
        <v>250</v>
      </c>
      <c r="N178" s="180">
        <v>7500</v>
      </c>
      <c r="O178" s="134" t="s">
        <v>24</v>
      </c>
      <c r="P178" s="29" t="s">
        <v>323</v>
      </c>
      <c r="Q178" s="29"/>
      <c r="R178" s="135" t="s">
        <v>26</v>
      </c>
    </row>
    <row r="179" spans="1:18" ht="30" hidden="1" customHeight="1">
      <c r="A179" s="11">
        <v>177</v>
      </c>
      <c r="B179" s="57" t="s">
        <v>19</v>
      </c>
      <c r="C179" s="58">
        <v>46098</v>
      </c>
      <c r="D179" s="58" t="s">
        <v>27</v>
      </c>
      <c r="E179" s="58" t="s">
        <v>19</v>
      </c>
      <c r="F179" s="58">
        <v>46095</v>
      </c>
      <c r="G179" s="108" t="s">
        <v>321</v>
      </c>
      <c r="H179" s="73" t="s">
        <v>330</v>
      </c>
      <c r="I179" s="129" t="s">
        <v>331</v>
      </c>
      <c r="J179" s="130" t="s">
        <v>155</v>
      </c>
      <c r="K179" s="130">
        <v>300</v>
      </c>
      <c r="L179" s="131"/>
      <c r="M179" s="179">
        <v>15</v>
      </c>
      <c r="N179" s="180">
        <v>4500</v>
      </c>
      <c r="O179" s="134" t="s">
        <v>24</v>
      </c>
      <c r="P179" s="29" t="s">
        <v>323</v>
      </c>
      <c r="Q179" s="29"/>
      <c r="R179" s="135" t="s">
        <v>26</v>
      </c>
    </row>
    <row r="180" spans="1:18" ht="30" hidden="1" customHeight="1">
      <c r="A180" s="11">
        <v>178</v>
      </c>
      <c r="B180" s="57" t="s">
        <v>19</v>
      </c>
      <c r="C180" s="58">
        <v>46091</v>
      </c>
      <c r="D180" s="58"/>
      <c r="E180" s="58"/>
      <c r="F180" s="58"/>
      <c r="G180" s="108" t="s">
        <v>321</v>
      </c>
      <c r="H180" s="73" t="s">
        <v>332</v>
      </c>
      <c r="I180" s="129" t="s">
        <v>333</v>
      </c>
      <c r="J180" s="130" t="s">
        <v>167</v>
      </c>
      <c r="K180" s="130">
        <v>6</v>
      </c>
      <c r="L180" s="131"/>
      <c r="M180" s="179">
        <v>200</v>
      </c>
      <c r="N180" s="180">
        <v>1200</v>
      </c>
      <c r="O180" s="134" t="s">
        <v>24</v>
      </c>
      <c r="P180" s="29" t="s">
        <v>323</v>
      </c>
      <c r="Q180" s="29"/>
      <c r="R180" s="135" t="s">
        <v>26</v>
      </c>
    </row>
    <row r="181" spans="1:18" ht="30" hidden="1" customHeight="1">
      <c r="A181" s="11">
        <v>179</v>
      </c>
      <c r="B181" s="57" t="s">
        <v>19</v>
      </c>
      <c r="C181" s="58">
        <v>46080</v>
      </c>
      <c r="D181" s="28" t="s">
        <v>214</v>
      </c>
      <c r="E181" s="58"/>
      <c r="F181" s="58"/>
      <c r="G181" s="108" t="s">
        <v>321</v>
      </c>
      <c r="H181" s="73" t="s">
        <v>215</v>
      </c>
      <c r="I181" s="129"/>
      <c r="J181" s="130" t="s">
        <v>216</v>
      </c>
      <c r="K181" s="130">
        <v>20</v>
      </c>
      <c r="L181" s="131"/>
      <c r="M181" s="179">
        <v>75</v>
      </c>
      <c r="N181" s="180">
        <v>1500</v>
      </c>
      <c r="O181" s="134" t="s">
        <v>24</v>
      </c>
      <c r="P181" s="29" t="s">
        <v>323</v>
      </c>
      <c r="Q181" s="29"/>
      <c r="R181" s="135" t="s">
        <v>26</v>
      </c>
    </row>
    <row r="182" spans="1:18" ht="30" hidden="1" customHeight="1">
      <c r="A182" s="11">
        <v>180</v>
      </c>
      <c r="B182" s="57" t="s">
        <v>19</v>
      </c>
      <c r="C182" s="28" t="s">
        <v>334</v>
      </c>
      <c r="D182" s="58" t="s">
        <v>335</v>
      </c>
      <c r="E182" s="58" t="s">
        <v>19</v>
      </c>
      <c r="F182" s="28" t="s">
        <v>336</v>
      </c>
      <c r="G182" s="108" t="s">
        <v>321</v>
      </c>
      <c r="H182" s="73" t="s">
        <v>337</v>
      </c>
      <c r="I182" s="129" t="s">
        <v>338</v>
      </c>
      <c r="J182" s="130" t="s">
        <v>66</v>
      </c>
      <c r="K182" s="130">
        <v>20</v>
      </c>
      <c r="L182" s="131"/>
      <c r="M182" s="179">
        <v>191</v>
      </c>
      <c r="N182" s="180">
        <v>3820</v>
      </c>
      <c r="O182" s="134" t="s">
        <v>24</v>
      </c>
      <c r="P182" s="29" t="s">
        <v>323</v>
      </c>
      <c r="Q182" s="29"/>
      <c r="R182" s="135" t="s">
        <v>26</v>
      </c>
    </row>
    <row r="183" spans="1:18" ht="30" hidden="1" customHeight="1">
      <c r="A183" s="11">
        <v>181</v>
      </c>
      <c r="B183" s="57" t="s">
        <v>19</v>
      </c>
      <c r="C183" s="26" t="s">
        <v>339</v>
      </c>
      <c r="D183" s="58" t="s">
        <v>27</v>
      </c>
      <c r="E183" s="58" t="s">
        <v>19</v>
      </c>
      <c r="F183" s="120">
        <v>46102</v>
      </c>
      <c r="G183" s="108">
        <v>4370069980</v>
      </c>
      <c r="H183" s="73" t="s">
        <v>101</v>
      </c>
      <c r="I183" s="124" t="s">
        <v>102</v>
      </c>
      <c r="J183" s="130" t="s">
        <v>66</v>
      </c>
      <c r="K183" s="130">
        <v>30</v>
      </c>
      <c r="L183" s="131"/>
      <c r="M183" s="179">
        <v>6000</v>
      </c>
      <c r="N183" s="180">
        <v>180000</v>
      </c>
      <c r="O183" s="134" t="s">
        <v>340</v>
      </c>
      <c r="P183" s="29" t="s">
        <v>341</v>
      </c>
      <c r="Q183" s="29"/>
      <c r="R183" s="135" t="s">
        <v>26</v>
      </c>
    </row>
    <row r="184" spans="1:18" ht="30" hidden="1" customHeight="1">
      <c r="A184" s="11">
        <v>182</v>
      </c>
      <c r="B184" s="57" t="s">
        <v>19</v>
      </c>
      <c r="C184" s="28" t="s">
        <v>342</v>
      </c>
      <c r="D184" s="12" t="s">
        <v>93</v>
      </c>
      <c r="E184" s="12"/>
      <c r="F184" s="12"/>
      <c r="G184" s="108">
        <v>4370069980</v>
      </c>
      <c r="H184" s="73" t="s">
        <v>96</v>
      </c>
      <c r="I184" s="153" t="s">
        <v>343</v>
      </c>
      <c r="J184" s="130" t="s">
        <v>46</v>
      </c>
      <c r="K184" s="130">
        <v>8</v>
      </c>
      <c r="L184" s="131"/>
      <c r="M184" s="179">
        <v>12000</v>
      </c>
      <c r="N184" s="180">
        <v>96000</v>
      </c>
      <c r="O184" s="134" t="s">
        <v>340</v>
      </c>
      <c r="P184" s="29" t="s">
        <v>341</v>
      </c>
      <c r="Q184" s="29"/>
      <c r="R184" s="135" t="s">
        <v>26</v>
      </c>
    </row>
    <row r="185" spans="1:18" ht="30" hidden="1" customHeight="1">
      <c r="A185" s="11">
        <v>183</v>
      </c>
      <c r="B185" s="191" t="s">
        <v>19</v>
      </c>
      <c r="C185" s="111" t="s">
        <v>344</v>
      </c>
      <c r="D185" s="26" t="s">
        <v>110</v>
      </c>
      <c r="E185" s="26"/>
      <c r="F185" s="26"/>
      <c r="G185" s="108">
        <v>4370069980</v>
      </c>
      <c r="H185" s="73" t="s">
        <v>345</v>
      </c>
      <c r="I185" s="129" t="s">
        <v>112</v>
      </c>
      <c r="J185" s="130" t="s">
        <v>46</v>
      </c>
      <c r="K185" s="130">
        <v>3</v>
      </c>
      <c r="L185" s="131"/>
      <c r="M185" s="179">
        <v>10200</v>
      </c>
      <c r="N185" s="180">
        <v>30600</v>
      </c>
      <c r="O185" s="134" t="s">
        <v>340</v>
      </c>
      <c r="P185" s="29" t="s">
        <v>341</v>
      </c>
      <c r="Q185" s="29"/>
      <c r="R185" s="135" t="s">
        <v>26</v>
      </c>
    </row>
    <row r="186" spans="1:18" ht="30" hidden="1" customHeight="1">
      <c r="A186" s="11">
        <v>184</v>
      </c>
      <c r="B186" s="57" t="s">
        <v>19</v>
      </c>
      <c r="C186" s="58">
        <v>46078</v>
      </c>
      <c r="D186" s="58" t="s">
        <v>61</v>
      </c>
      <c r="E186" s="58" t="s">
        <v>19</v>
      </c>
      <c r="F186" s="58"/>
      <c r="G186" s="108">
        <v>4370069980</v>
      </c>
      <c r="H186" s="73" t="s">
        <v>125</v>
      </c>
      <c r="I186" s="129" t="s">
        <v>318</v>
      </c>
      <c r="J186" s="130" t="s">
        <v>23</v>
      </c>
      <c r="K186" s="130">
        <v>15</v>
      </c>
      <c r="L186" s="131"/>
      <c r="M186" s="179">
        <v>1900</v>
      </c>
      <c r="N186" s="180">
        <v>28500</v>
      </c>
      <c r="O186" s="134" t="s">
        <v>340</v>
      </c>
      <c r="P186" s="29" t="s">
        <v>341</v>
      </c>
      <c r="Q186" s="29"/>
      <c r="R186" s="135" t="s">
        <v>26</v>
      </c>
    </row>
    <row r="187" spans="1:18" ht="30" hidden="1" customHeight="1">
      <c r="A187" s="11">
        <v>185</v>
      </c>
      <c r="B187" s="57" t="s">
        <v>19</v>
      </c>
      <c r="C187" s="58">
        <v>46094</v>
      </c>
      <c r="D187" s="58" t="s">
        <v>27</v>
      </c>
      <c r="E187" s="58"/>
      <c r="F187" s="58"/>
      <c r="G187" s="108">
        <v>4370069980</v>
      </c>
      <c r="H187" s="73" t="s">
        <v>134</v>
      </c>
      <c r="I187" s="129" t="s">
        <v>135</v>
      </c>
      <c r="J187" s="130" t="s">
        <v>46</v>
      </c>
      <c r="K187" s="130">
        <v>1</v>
      </c>
      <c r="L187" s="131"/>
      <c r="M187" s="179">
        <v>19500</v>
      </c>
      <c r="N187" s="180">
        <v>19500</v>
      </c>
      <c r="O187" s="134" t="s">
        <v>340</v>
      </c>
      <c r="P187" s="29" t="s">
        <v>341</v>
      </c>
      <c r="Q187" s="29"/>
      <c r="R187" s="135" t="s">
        <v>26</v>
      </c>
    </row>
    <row r="188" spans="1:18" ht="30" hidden="1" customHeight="1">
      <c r="A188" s="11">
        <v>186</v>
      </c>
      <c r="B188" s="57" t="s">
        <v>19</v>
      </c>
      <c r="C188" s="58">
        <v>46101</v>
      </c>
      <c r="D188" s="58" t="s">
        <v>27</v>
      </c>
      <c r="E188" s="58" t="s">
        <v>19</v>
      </c>
      <c r="F188" s="58">
        <v>46101</v>
      </c>
      <c r="G188" s="108">
        <v>4370069980</v>
      </c>
      <c r="H188" s="73" t="s">
        <v>139</v>
      </c>
      <c r="I188" s="129"/>
      <c r="J188" s="130" t="s">
        <v>34</v>
      </c>
      <c r="K188" s="130">
        <v>40</v>
      </c>
      <c r="L188" s="131"/>
      <c r="M188" s="179">
        <v>350</v>
      </c>
      <c r="N188" s="180">
        <v>14000</v>
      </c>
      <c r="O188" s="134" t="s">
        <v>340</v>
      </c>
      <c r="P188" s="29" t="s">
        <v>341</v>
      </c>
      <c r="Q188" s="29"/>
      <c r="R188" s="135" t="s">
        <v>26</v>
      </c>
    </row>
    <row r="189" spans="1:18" ht="30" hidden="1" customHeight="1">
      <c r="A189" s="11">
        <v>187</v>
      </c>
      <c r="B189" s="57" t="s">
        <v>19</v>
      </c>
      <c r="C189" s="58">
        <v>46101</v>
      </c>
      <c r="D189" s="58" t="s">
        <v>27</v>
      </c>
      <c r="E189" s="58" t="s">
        <v>19</v>
      </c>
      <c r="F189" s="58">
        <v>46101</v>
      </c>
      <c r="G189" s="108">
        <v>4370069980</v>
      </c>
      <c r="H189" s="73" t="s">
        <v>140</v>
      </c>
      <c r="I189" s="129"/>
      <c r="J189" s="130" t="s">
        <v>34</v>
      </c>
      <c r="K189" s="130">
        <v>40</v>
      </c>
      <c r="L189" s="131"/>
      <c r="M189" s="179">
        <v>350</v>
      </c>
      <c r="N189" s="180">
        <v>14000</v>
      </c>
      <c r="O189" s="134" t="s">
        <v>340</v>
      </c>
      <c r="P189" s="29" t="s">
        <v>341</v>
      </c>
      <c r="Q189" s="29"/>
      <c r="R189" s="135" t="s">
        <v>26</v>
      </c>
    </row>
    <row r="190" spans="1:18" ht="30" hidden="1" customHeight="1">
      <c r="A190" s="11">
        <v>188</v>
      </c>
      <c r="B190" s="57" t="s">
        <v>19</v>
      </c>
      <c r="C190" s="58">
        <v>46126</v>
      </c>
      <c r="D190" s="58" t="s">
        <v>27</v>
      </c>
      <c r="E190" s="58" t="s">
        <v>19</v>
      </c>
      <c r="F190" s="58">
        <v>46126</v>
      </c>
      <c r="G190" s="108">
        <v>4370069980</v>
      </c>
      <c r="H190" s="73" t="s">
        <v>106</v>
      </c>
      <c r="I190" s="129"/>
      <c r="J190" s="130" t="s">
        <v>34</v>
      </c>
      <c r="K190" s="130">
        <v>30</v>
      </c>
      <c r="L190" s="131"/>
      <c r="M190" s="179">
        <v>450</v>
      </c>
      <c r="N190" s="180">
        <v>13500</v>
      </c>
      <c r="O190" s="134" t="s">
        <v>340</v>
      </c>
      <c r="P190" s="29" t="s">
        <v>341</v>
      </c>
      <c r="Q190" s="29"/>
      <c r="R190" s="135" t="s">
        <v>26</v>
      </c>
    </row>
    <row r="191" spans="1:18" ht="30" hidden="1" customHeight="1">
      <c r="A191" s="11">
        <v>189</v>
      </c>
      <c r="B191" s="57" t="s">
        <v>19</v>
      </c>
      <c r="C191" s="58">
        <v>46079</v>
      </c>
      <c r="D191" s="58" t="s">
        <v>51</v>
      </c>
      <c r="E191" s="58"/>
      <c r="F191" s="58"/>
      <c r="G191" s="108">
        <v>4370069980</v>
      </c>
      <c r="H191" s="73" t="s">
        <v>52</v>
      </c>
      <c r="I191" s="129" t="s">
        <v>53</v>
      </c>
      <c r="J191" s="130" t="s">
        <v>46</v>
      </c>
      <c r="K191" s="130">
        <v>3</v>
      </c>
      <c r="L191" s="131"/>
      <c r="M191" s="179">
        <v>3750</v>
      </c>
      <c r="N191" s="180">
        <v>11250</v>
      </c>
      <c r="O191" s="134" t="s">
        <v>340</v>
      </c>
      <c r="P191" s="29" t="s">
        <v>341</v>
      </c>
      <c r="Q191" s="29"/>
      <c r="R191" s="135" t="s">
        <v>26</v>
      </c>
    </row>
    <row r="192" spans="1:18" ht="30" hidden="1" customHeight="1">
      <c r="A192" s="11">
        <v>190</v>
      </c>
      <c r="B192" s="57" t="s">
        <v>19</v>
      </c>
      <c r="C192" s="58">
        <v>46083</v>
      </c>
      <c r="D192" s="12" t="s">
        <v>93</v>
      </c>
      <c r="E192" s="12"/>
      <c r="F192" s="12"/>
      <c r="G192" s="108">
        <v>4370069980</v>
      </c>
      <c r="H192" s="73" t="s">
        <v>126</v>
      </c>
      <c r="I192" s="129"/>
      <c r="J192" s="130" t="s">
        <v>128</v>
      </c>
      <c r="K192" s="130">
        <v>200</v>
      </c>
      <c r="L192" s="131"/>
      <c r="M192" s="179">
        <v>50</v>
      </c>
      <c r="N192" s="180">
        <v>10000</v>
      </c>
      <c r="O192" s="134" t="s">
        <v>340</v>
      </c>
      <c r="P192" s="29" t="s">
        <v>341</v>
      </c>
      <c r="Q192" s="29"/>
      <c r="R192" s="135" t="s">
        <v>26</v>
      </c>
    </row>
    <row r="193" spans="1:18" ht="30" hidden="1" customHeight="1">
      <c r="A193" s="11">
        <v>191</v>
      </c>
      <c r="B193" s="57" t="s">
        <v>19</v>
      </c>
      <c r="C193" s="58">
        <v>46083</v>
      </c>
      <c r="D193" s="12" t="s">
        <v>93</v>
      </c>
      <c r="E193" s="58"/>
      <c r="F193" s="58"/>
      <c r="G193" s="108">
        <v>4370069980</v>
      </c>
      <c r="H193" s="73" t="s">
        <v>131</v>
      </c>
      <c r="I193" s="129" t="s">
        <v>324</v>
      </c>
      <c r="J193" s="130" t="s">
        <v>66</v>
      </c>
      <c r="K193" s="130">
        <v>8</v>
      </c>
      <c r="L193" s="131"/>
      <c r="M193" s="179">
        <v>994</v>
      </c>
      <c r="N193" s="180">
        <v>7952</v>
      </c>
      <c r="O193" s="134" t="s">
        <v>340</v>
      </c>
      <c r="P193" s="29" t="s">
        <v>341</v>
      </c>
      <c r="Q193" s="29"/>
      <c r="R193" s="135" t="s">
        <v>26</v>
      </c>
    </row>
    <row r="194" spans="1:18" ht="30" hidden="1" customHeight="1">
      <c r="A194" s="11">
        <v>192</v>
      </c>
      <c r="B194" s="57" t="s">
        <v>19</v>
      </c>
      <c r="C194" s="58">
        <v>46092</v>
      </c>
      <c r="D194" s="58" t="s">
        <v>27</v>
      </c>
      <c r="E194" s="58"/>
      <c r="F194" s="58"/>
      <c r="G194" s="108">
        <v>4370069980</v>
      </c>
      <c r="H194" s="73" t="s">
        <v>32</v>
      </c>
      <c r="I194" s="129" t="s">
        <v>346</v>
      </c>
      <c r="J194" s="130" t="s">
        <v>66</v>
      </c>
      <c r="K194" s="130">
        <v>103</v>
      </c>
      <c r="L194" s="131"/>
      <c r="M194" s="179">
        <v>55</v>
      </c>
      <c r="N194" s="180">
        <v>5665</v>
      </c>
      <c r="O194" s="134" t="s">
        <v>340</v>
      </c>
      <c r="P194" s="29" t="s">
        <v>341</v>
      </c>
      <c r="Q194" s="29"/>
      <c r="R194" s="135" t="s">
        <v>26</v>
      </c>
    </row>
    <row r="195" spans="1:18" ht="30" hidden="1" customHeight="1">
      <c r="A195" s="11">
        <v>193</v>
      </c>
      <c r="B195" s="57" t="s">
        <v>19</v>
      </c>
      <c r="C195" s="58">
        <v>46092</v>
      </c>
      <c r="D195" s="58" t="s">
        <v>27</v>
      </c>
      <c r="E195" s="58"/>
      <c r="F195" s="58"/>
      <c r="G195" s="108">
        <v>4370069980</v>
      </c>
      <c r="H195" s="73" t="s">
        <v>32</v>
      </c>
      <c r="I195" s="129" t="s">
        <v>238</v>
      </c>
      <c r="J195" s="130" t="s">
        <v>66</v>
      </c>
      <c r="K195" s="130">
        <v>90</v>
      </c>
      <c r="L195" s="131"/>
      <c r="M195" s="179">
        <v>55</v>
      </c>
      <c r="N195" s="180">
        <v>4950</v>
      </c>
      <c r="O195" s="134" t="s">
        <v>340</v>
      </c>
      <c r="P195" s="29" t="s">
        <v>341</v>
      </c>
      <c r="Q195" s="29"/>
      <c r="R195" s="135" t="s">
        <v>26</v>
      </c>
    </row>
    <row r="196" spans="1:18" ht="30" hidden="1" customHeight="1">
      <c r="A196" s="11">
        <v>194</v>
      </c>
      <c r="B196" s="57" t="s">
        <v>19</v>
      </c>
      <c r="C196" s="58">
        <v>46083</v>
      </c>
      <c r="D196" s="58" t="s">
        <v>93</v>
      </c>
      <c r="E196" s="58"/>
      <c r="F196" s="58"/>
      <c r="G196" s="108">
        <v>4370069980</v>
      </c>
      <c r="H196" s="119" t="s">
        <v>208</v>
      </c>
      <c r="I196" s="119" t="s">
        <v>209</v>
      </c>
      <c r="J196" s="130" t="s">
        <v>34</v>
      </c>
      <c r="K196" s="130">
        <v>8</v>
      </c>
      <c r="L196" s="131"/>
      <c r="M196" s="179">
        <v>500</v>
      </c>
      <c r="N196" s="180">
        <v>4000</v>
      </c>
      <c r="O196" s="134" t="s">
        <v>340</v>
      </c>
      <c r="P196" s="29" t="s">
        <v>341</v>
      </c>
      <c r="Q196" s="29"/>
      <c r="R196" s="135" t="s">
        <v>26</v>
      </c>
    </row>
    <row r="197" spans="1:18" ht="30" hidden="1" customHeight="1">
      <c r="A197" s="11">
        <v>195</v>
      </c>
      <c r="B197" s="57" t="s">
        <v>19</v>
      </c>
      <c r="C197" s="58">
        <v>46098</v>
      </c>
      <c r="D197" s="58" t="s">
        <v>27</v>
      </c>
      <c r="E197" s="58" t="s">
        <v>19</v>
      </c>
      <c r="F197" s="58" t="s">
        <v>36</v>
      </c>
      <c r="G197" s="108">
        <v>4370069980</v>
      </c>
      <c r="H197" s="73" t="s">
        <v>68</v>
      </c>
      <c r="I197" s="129" t="s">
        <v>69</v>
      </c>
      <c r="J197" s="130" t="s">
        <v>34</v>
      </c>
      <c r="K197" s="130">
        <v>50</v>
      </c>
      <c r="L197" s="131"/>
      <c r="M197" s="179">
        <v>70</v>
      </c>
      <c r="N197" s="180">
        <v>3500</v>
      </c>
      <c r="O197" s="134" t="s">
        <v>340</v>
      </c>
      <c r="P197" s="29" t="s">
        <v>341</v>
      </c>
      <c r="Q197" s="29"/>
      <c r="R197" s="135" t="s">
        <v>26</v>
      </c>
    </row>
    <row r="198" spans="1:18" ht="30" hidden="1" customHeight="1">
      <c r="A198" s="11">
        <v>196</v>
      </c>
      <c r="B198" s="57" t="s">
        <v>19</v>
      </c>
      <c r="C198" s="58">
        <v>46092</v>
      </c>
      <c r="D198" s="58" t="s">
        <v>27</v>
      </c>
      <c r="E198" s="58"/>
      <c r="F198" s="58"/>
      <c r="G198" s="108">
        <v>4370069980</v>
      </c>
      <c r="H198" s="73" t="s">
        <v>32</v>
      </c>
      <c r="I198" s="129" t="s">
        <v>173</v>
      </c>
      <c r="J198" s="130" t="s">
        <v>66</v>
      </c>
      <c r="K198" s="130">
        <v>38</v>
      </c>
      <c r="L198" s="131"/>
      <c r="M198" s="179">
        <v>55</v>
      </c>
      <c r="N198" s="180">
        <v>2090</v>
      </c>
      <c r="O198" s="134" t="s">
        <v>340</v>
      </c>
      <c r="P198" s="29" t="s">
        <v>341</v>
      </c>
      <c r="Q198" s="29"/>
      <c r="R198" s="135" t="s">
        <v>26</v>
      </c>
    </row>
    <row r="199" spans="1:18" ht="30" hidden="1" customHeight="1">
      <c r="A199" s="11">
        <v>197</v>
      </c>
      <c r="B199" s="57" t="s">
        <v>19</v>
      </c>
      <c r="C199" s="28" t="s">
        <v>347</v>
      </c>
      <c r="D199" s="58" t="s">
        <v>27</v>
      </c>
      <c r="E199" s="58"/>
      <c r="F199" s="58"/>
      <c r="G199" s="108">
        <v>4370069980</v>
      </c>
      <c r="H199" s="73" t="s">
        <v>348</v>
      </c>
      <c r="I199" s="129" t="s">
        <v>349</v>
      </c>
      <c r="J199" s="130" t="s">
        <v>66</v>
      </c>
      <c r="K199" s="130">
        <v>10</v>
      </c>
      <c r="L199" s="131"/>
      <c r="M199" s="179">
        <v>200</v>
      </c>
      <c r="N199" s="180">
        <v>2000</v>
      </c>
      <c r="O199" s="134" t="s">
        <v>340</v>
      </c>
      <c r="P199" s="29" t="s">
        <v>341</v>
      </c>
      <c r="Q199" s="29"/>
      <c r="R199" s="135" t="s">
        <v>26</v>
      </c>
    </row>
    <row r="200" spans="1:18" ht="30" hidden="1" customHeight="1">
      <c r="A200" s="11">
        <v>198</v>
      </c>
      <c r="B200" s="79" t="s">
        <v>19</v>
      </c>
      <c r="C200" s="28" t="s">
        <v>350</v>
      </c>
      <c r="D200" s="58" t="s">
        <v>27</v>
      </c>
      <c r="E200" s="58" t="s">
        <v>19</v>
      </c>
      <c r="F200" s="120">
        <v>46094</v>
      </c>
      <c r="G200" s="108">
        <v>4370069980</v>
      </c>
      <c r="H200" s="73" t="s">
        <v>212</v>
      </c>
      <c r="I200" s="129" t="s">
        <v>213</v>
      </c>
      <c r="J200" s="130" t="s">
        <v>42</v>
      </c>
      <c r="K200" s="130">
        <v>4</v>
      </c>
      <c r="L200" s="131"/>
      <c r="M200" s="179">
        <v>350</v>
      </c>
      <c r="N200" s="180">
        <v>1400</v>
      </c>
      <c r="O200" s="134" t="s">
        <v>340</v>
      </c>
      <c r="P200" s="29" t="s">
        <v>341</v>
      </c>
      <c r="Q200" s="29"/>
      <c r="R200" s="135" t="s">
        <v>26</v>
      </c>
    </row>
    <row r="201" spans="1:18" ht="30" hidden="1" customHeight="1">
      <c r="A201" s="11">
        <v>199</v>
      </c>
      <c r="B201" s="57" t="s">
        <v>19</v>
      </c>
      <c r="C201" s="58">
        <v>46084</v>
      </c>
      <c r="D201" s="26" t="s">
        <v>110</v>
      </c>
      <c r="E201" s="26"/>
      <c r="F201" s="26"/>
      <c r="G201" s="108">
        <v>4370069980</v>
      </c>
      <c r="H201" s="73" t="s">
        <v>218</v>
      </c>
      <c r="I201" s="129" t="s">
        <v>219</v>
      </c>
      <c r="J201" s="130" t="s">
        <v>143</v>
      </c>
      <c r="K201" s="217">
        <v>20</v>
      </c>
      <c r="L201" s="131"/>
      <c r="M201" s="179">
        <v>60</v>
      </c>
      <c r="N201" s="180">
        <v>1200</v>
      </c>
      <c r="O201" s="134" t="s">
        <v>340</v>
      </c>
      <c r="P201" s="29" t="s">
        <v>341</v>
      </c>
      <c r="Q201" s="241" t="s">
        <v>351</v>
      </c>
      <c r="R201" s="135" t="s">
        <v>26</v>
      </c>
    </row>
    <row r="202" spans="1:18" ht="30" hidden="1" customHeight="1">
      <c r="A202" s="11">
        <v>200</v>
      </c>
      <c r="B202" s="107" t="s">
        <v>19</v>
      </c>
      <c r="C202" s="58">
        <v>46087</v>
      </c>
      <c r="D202" s="26" t="s">
        <v>110</v>
      </c>
      <c r="E202" s="26"/>
      <c r="F202" s="26"/>
      <c r="G202" s="108">
        <v>4370069980</v>
      </c>
      <c r="H202" s="73" t="s">
        <v>218</v>
      </c>
      <c r="I202" s="153" t="s">
        <v>233</v>
      </c>
      <c r="J202" s="130" t="s">
        <v>66</v>
      </c>
      <c r="K202" s="130">
        <v>100</v>
      </c>
      <c r="L202" s="131"/>
      <c r="M202" s="179">
        <v>10</v>
      </c>
      <c r="N202" s="180">
        <v>1000</v>
      </c>
      <c r="O202" s="134" t="s">
        <v>340</v>
      </c>
      <c r="P202" s="29" t="s">
        <v>341</v>
      </c>
      <c r="Q202" s="29"/>
      <c r="R202" s="135" t="s">
        <v>26</v>
      </c>
    </row>
    <row r="203" spans="1:18" ht="30" hidden="1" customHeight="1">
      <c r="A203" s="11">
        <v>201</v>
      </c>
      <c r="B203" s="107" t="s">
        <v>19</v>
      </c>
      <c r="C203" s="58">
        <v>46087</v>
      </c>
      <c r="D203" s="26" t="s">
        <v>110</v>
      </c>
      <c r="E203" s="26"/>
      <c r="F203" s="26"/>
      <c r="G203" s="108">
        <v>4370069980</v>
      </c>
      <c r="H203" s="73" t="s">
        <v>218</v>
      </c>
      <c r="I203" s="153" t="s">
        <v>352</v>
      </c>
      <c r="J203" s="130" t="s">
        <v>66</v>
      </c>
      <c r="K203" s="130">
        <v>100</v>
      </c>
      <c r="L203" s="131"/>
      <c r="M203" s="179">
        <v>10</v>
      </c>
      <c r="N203" s="180">
        <v>1000</v>
      </c>
      <c r="O203" s="134" t="s">
        <v>340</v>
      </c>
      <c r="P203" s="29" t="s">
        <v>341</v>
      </c>
      <c r="Q203" s="29"/>
      <c r="R203" s="135" t="s">
        <v>26</v>
      </c>
    </row>
    <row r="204" spans="1:18" ht="30" hidden="1" customHeight="1">
      <c r="A204" s="11">
        <v>202</v>
      </c>
      <c r="B204" s="57" t="s">
        <v>19</v>
      </c>
      <c r="C204" s="58">
        <v>46086</v>
      </c>
      <c r="D204" s="26" t="s">
        <v>110</v>
      </c>
      <c r="E204" s="26"/>
      <c r="F204" s="26"/>
      <c r="G204" s="108">
        <v>4370069980</v>
      </c>
      <c r="H204" s="73" t="s">
        <v>218</v>
      </c>
      <c r="I204" s="153" t="s">
        <v>353</v>
      </c>
      <c r="J204" s="130" t="s">
        <v>143</v>
      </c>
      <c r="K204" s="130">
        <v>2</v>
      </c>
      <c r="L204" s="131"/>
      <c r="M204" s="179">
        <v>500</v>
      </c>
      <c r="N204" s="180">
        <v>1000</v>
      </c>
      <c r="O204" s="134" t="s">
        <v>340</v>
      </c>
      <c r="P204" s="29" t="s">
        <v>341</v>
      </c>
      <c r="Q204" s="29"/>
      <c r="R204" s="135" t="s">
        <v>26</v>
      </c>
    </row>
    <row r="205" spans="1:18" ht="30" hidden="1" customHeight="1">
      <c r="A205" s="11">
        <v>203</v>
      </c>
      <c r="B205" s="57" t="s">
        <v>19</v>
      </c>
      <c r="C205" s="58">
        <v>46092</v>
      </c>
      <c r="D205" s="58" t="s">
        <v>27</v>
      </c>
      <c r="E205" s="58"/>
      <c r="F205" s="58"/>
      <c r="G205" s="108">
        <v>4370069980</v>
      </c>
      <c r="H205" s="73" t="s">
        <v>32</v>
      </c>
      <c r="I205" s="129" t="s">
        <v>171</v>
      </c>
      <c r="J205" s="130" t="s">
        <v>66</v>
      </c>
      <c r="K205" s="130">
        <v>10</v>
      </c>
      <c r="L205" s="131"/>
      <c r="M205" s="179">
        <v>55</v>
      </c>
      <c r="N205" s="180">
        <v>550</v>
      </c>
      <c r="O205" s="134" t="s">
        <v>340</v>
      </c>
      <c r="P205" s="29" t="s">
        <v>341</v>
      </c>
      <c r="Q205" s="29"/>
      <c r="R205" s="135" t="s">
        <v>26</v>
      </c>
    </row>
    <row r="206" spans="1:18" ht="30" hidden="1" customHeight="1">
      <c r="A206" s="11">
        <v>204</v>
      </c>
      <c r="B206" s="57" t="s">
        <v>19</v>
      </c>
      <c r="C206" s="58">
        <v>46092</v>
      </c>
      <c r="D206" s="58" t="s">
        <v>27</v>
      </c>
      <c r="E206" s="58"/>
      <c r="F206" s="58"/>
      <c r="G206" s="108">
        <v>4370069980</v>
      </c>
      <c r="H206" s="73" t="s">
        <v>32</v>
      </c>
      <c r="I206" s="129" t="s">
        <v>354</v>
      </c>
      <c r="J206" s="130" t="s">
        <v>66</v>
      </c>
      <c r="K206" s="130">
        <v>10</v>
      </c>
      <c r="L206" s="131"/>
      <c r="M206" s="179">
        <v>55</v>
      </c>
      <c r="N206" s="180">
        <v>550</v>
      </c>
      <c r="O206" s="134" t="s">
        <v>340</v>
      </c>
      <c r="P206" s="29" t="s">
        <v>341</v>
      </c>
      <c r="Q206" s="29"/>
      <c r="R206" s="135" t="s">
        <v>26</v>
      </c>
    </row>
    <row r="207" spans="1:18" ht="30" hidden="1" customHeight="1">
      <c r="A207" s="11">
        <v>205</v>
      </c>
      <c r="B207" s="57" t="s">
        <v>19</v>
      </c>
      <c r="C207" s="58">
        <v>46092</v>
      </c>
      <c r="D207" s="58" t="s">
        <v>27</v>
      </c>
      <c r="E207" s="58"/>
      <c r="F207" s="58"/>
      <c r="G207" s="108">
        <v>4370069980</v>
      </c>
      <c r="H207" s="73" t="s">
        <v>32</v>
      </c>
      <c r="I207" s="129" t="s">
        <v>355</v>
      </c>
      <c r="J207" s="130" t="s">
        <v>66</v>
      </c>
      <c r="K207" s="130">
        <v>10</v>
      </c>
      <c r="L207" s="131"/>
      <c r="M207" s="179">
        <v>55</v>
      </c>
      <c r="N207" s="180">
        <v>550</v>
      </c>
      <c r="O207" s="134" t="s">
        <v>340</v>
      </c>
      <c r="P207" s="29" t="s">
        <v>341</v>
      </c>
      <c r="Q207" s="29"/>
      <c r="R207" s="135" t="s">
        <v>26</v>
      </c>
    </row>
    <row r="208" spans="1:18" ht="30" hidden="1" customHeight="1">
      <c r="A208" s="11">
        <v>206</v>
      </c>
      <c r="B208" s="57" t="s">
        <v>19</v>
      </c>
      <c r="C208" s="58">
        <v>46098</v>
      </c>
      <c r="D208" s="58" t="s">
        <v>27</v>
      </c>
      <c r="E208" s="58"/>
      <c r="F208" s="58"/>
      <c r="G208" s="108">
        <v>4370069980</v>
      </c>
      <c r="H208" s="73" t="s">
        <v>207</v>
      </c>
      <c r="I208" s="129"/>
      <c r="J208" s="130" t="s">
        <v>34</v>
      </c>
      <c r="K208" s="130">
        <v>30</v>
      </c>
      <c r="L208" s="131"/>
      <c r="M208" s="179">
        <v>8</v>
      </c>
      <c r="N208" s="180">
        <v>240</v>
      </c>
      <c r="O208" s="134" t="s">
        <v>340</v>
      </c>
      <c r="P208" s="29" t="s">
        <v>341</v>
      </c>
      <c r="Q208" s="29"/>
      <c r="R208" s="135" t="s">
        <v>26</v>
      </c>
    </row>
    <row r="209" spans="1:18" ht="30" hidden="1" customHeight="1">
      <c r="A209" s="201">
        <v>207</v>
      </c>
      <c r="B209" s="202" t="s">
        <v>19</v>
      </c>
      <c r="C209" s="203">
        <v>46092</v>
      </c>
      <c r="D209" s="203" t="s">
        <v>27</v>
      </c>
      <c r="E209" s="203"/>
      <c r="F209" s="203"/>
      <c r="G209" s="108">
        <v>4370069980</v>
      </c>
      <c r="H209" s="204" t="s">
        <v>32</v>
      </c>
      <c r="I209" s="218" t="s">
        <v>356</v>
      </c>
      <c r="J209" s="219" t="s">
        <v>66</v>
      </c>
      <c r="K209" s="219">
        <v>3</v>
      </c>
      <c r="L209" s="220"/>
      <c r="M209" s="221">
        <v>55</v>
      </c>
      <c r="N209" s="222">
        <v>165</v>
      </c>
      <c r="O209" s="223" t="s">
        <v>340</v>
      </c>
      <c r="P209" s="224" t="s">
        <v>341</v>
      </c>
      <c r="Q209" s="224"/>
      <c r="R209" s="242" t="s">
        <v>26</v>
      </c>
    </row>
    <row r="210" spans="1:18" ht="30" hidden="1" customHeight="1">
      <c r="A210" s="205">
        <v>208</v>
      </c>
      <c r="B210" s="206" t="s">
        <v>19</v>
      </c>
      <c r="C210" s="207">
        <v>46111</v>
      </c>
      <c r="D210" s="208" t="s">
        <v>110</v>
      </c>
      <c r="E210" s="78" t="s">
        <v>19</v>
      </c>
      <c r="F210" s="208" t="s">
        <v>357</v>
      </c>
      <c r="G210" s="209" t="s">
        <v>358</v>
      </c>
      <c r="H210" s="210" t="s">
        <v>218</v>
      </c>
      <c r="I210" s="225" t="s">
        <v>219</v>
      </c>
      <c r="J210" s="226" t="s">
        <v>143</v>
      </c>
      <c r="K210" s="226">
        <v>60</v>
      </c>
      <c r="L210" s="227"/>
      <c r="M210" s="228">
        <v>40</v>
      </c>
      <c r="N210" s="229">
        <v>2400</v>
      </c>
      <c r="O210" s="230" t="s">
        <v>359</v>
      </c>
      <c r="P210" s="231" t="s">
        <v>360</v>
      </c>
      <c r="Q210" s="231"/>
      <c r="R210" s="231" t="s">
        <v>361</v>
      </c>
    </row>
    <row r="211" spans="1:18" ht="30" hidden="1" customHeight="1">
      <c r="A211" s="11">
        <v>209</v>
      </c>
      <c r="B211" s="57" t="s">
        <v>19</v>
      </c>
      <c r="C211" s="12">
        <v>46111</v>
      </c>
      <c r="D211" s="26" t="s">
        <v>110</v>
      </c>
      <c r="E211" s="58" t="s">
        <v>19</v>
      </c>
      <c r="F211" s="26" t="s">
        <v>357</v>
      </c>
      <c r="G211" s="209" t="s">
        <v>358</v>
      </c>
      <c r="H211" s="73" t="s">
        <v>218</v>
      </c>
      <c r="I211" s="153" t="s">
        <v>353</v>
      </c>
      <c r="J211" s="130" t="s">
        <v>143</v>
      </c>
      <c r="K211" s="130">
        <v>3</v>
      </c>
      <c r="L211" s="131"/>
      <c r="M211" s="179">
        <v>500</v>
      </c>
      <c r="N211" s="180">
        <v>1500</v>
      </c>
      <c r="O211" s="134" t="s">
        <v>362</v>
      </c>
      <c r="P211" s="29" t="s">
        <v>360</v>
      </c>
      <c r="Q211" s="29"/>
      <c r="R211" s="29" t="s">
        <v>361</v>
      </c>
    </row>
    <row r="212" spans="1:18" ht="30" hidden="1" customHeight="1">
      <c r="A212" s="11">
        <v>210</v>
      </c>
      <c r="B212" s="57" t="s">
        <v>19</v>
      </c>
      <c r="C212" s="12">
        <v>46111</v>
      </c>
      <c r="D212" s="26" t="s">
        <v>110</v>
      </c>
      <c r="E212" s="58" t="s">
        <v>19</v>
      </c>
      <c r="F212" s="26" t="s">
        <v>357</v>
      </c>
      <c r="G212" s="209" t="s">
        <v>358</v>
      </c>
      <c r="H212" s="73" t="s">
        <v>218</v>
      </c>
      <c r="I212" s="153" t="s">
        <v>363</v>
      </c>
      <c r="J212" s="130" t="s">
        <v>34</v>
      </c>
      <c r="K212" s="130">
        <v>60</v>
      </c>
      <c r="L212" s="131"/>
      <c r="M212" s="179">
        <v>10</v>
      </c>
      <c r="N212" s="180">
        <v>600</v>
      </c>
      <c r="O212" s="134" t="s">
        <v>362</v>
      </c>
      <c r="P212" s="29" t="s">
        <v>360</v>
      </c>
      <c r="Q212" s="29"/>
      <c r="R212" s="29" t="s">
        <v>361</v>
      </c>
    </row>
    <row r="213" spans="1:18" ht="30" hidden="1" customHeight="1">
      <c r="A213" s="11">
        <v>211</v>
      </c>
      <c r="B213" s="79" t="s">
        <v>19</v>
      </c>
      <c r="C213" s="26" t="s">
        <v>364</v>
      </c>
      <c r="D213" s="58" t="s">
        <v>61</v>
      </c>
      <c r="E213" s="58"/>
      <c r="F213" s="12">
        <v>46112</v>
      </c>
      <c r="G213" s="59">
        <v>4370069864</v>
      </c>
      <c r="H213" s="73" t="s">
        <v>125</v>
      </c>
      <c r="I213" s="129" t="s">
        <v>318</v>
      </c>
      <c r="J213" s="130" t="s">
        <v>23</v>
      </c>
      <c r="K213" s="130">
        <v>80</v>
      </c>
      <c r="L213" s="131"/>
      <c r="M213" s="179">
        <v>1900</v>
      </c>
      <c r="N213" s="180">
        <v>152000</v>
      </c>
      <c r="O213" s="134" t="s">
        <v>365</v>
      </c>
      <c r="P213" s="29" t="s">
        <v>366</v>
      </c>
      <c r="Q213" s="29"/>
      <c r="R213" s="29" t="s">
        <v>361</v>
      </c>
    </row>
    <row r="214" spans="1:18" ht="30" hidden="1" customHeight="1">
      <c r="A214" s="11">
        <v>212</v>
      </c>
      <c r="B214" s="57" t="s">
        <v>19</v>
      </c>
      <c r="C214" s="12">
        <v>46111</v>
      </c>
      <c r="D214" s="26" t="s">
        <v>110</v>
      </c>
      <c r="E214" s="58" t="s">
        <v>19</v>
      </c>
      <c r="F214" s="26" t="s">
        <v>357</v>
      </c>
      <c r="G214" s="59">
        <v>4370069864</v>
      </c>
      <c r="H214" s="73" t="s">
        <v>218</v>
      </c>
      <c r="I214" s="129" t="s">
        <v>219</v>
      </c>
      <c r="J214" s="130" t="s">
        <v>143</v>
      </c>
      <c r="K214" s="130">
        <v>40</v>
      </c>
      <c r="L214" s="131"/>
      <c r="M214" s="179">
        <v>10</v>
      </c>
      <c r="N214" s="180">
        <v>400</v>
      </c>
      <c r="O214" s="134" t="s">
        <v>367</v>
      </c>
      <c r="P214" s="29" t="s">
        <v>366</v>
      </c>
      <c r="Q214" s="29"/>
      <c r="R214" s="29" t="s">
        <v>361</v>
      </c>
    </row>
    <row r="215" spans="1:18" ht="30" hidden="1" customHeight="1">
      <c r="A215" s="11">
        <v>213</v>
      </c>
      <c r="B215" s="57" t="s">
        <v>19</v>
      </c>
      <c r="C215" s="12">
        <v>46111</v>
      </c>
      <c r="D215" s="26" t="s">
        <v>110</v>
      </c>
      <c r="E215" s="58" t="s">
        <v>19</v>
      </c>
      <c r="F215" s="26" t="s">
        <v>357</v>
      </c>
      <c r="G215" s="59">
        <v>4370069864</v>
      </c>
      <c r="H215" s="73" t="s">
        <v>218</v>
      </c>
      <c r="I215" s="153" t="s">
        <v>353</v>
      </c>
      <c r="J215" s="130" t="s">
        <v>143</v>
      </c>
      <c r="K215" s="130">
        <v>2</v>
      </c>
      <c r="L215" s="131"/>
      <c r="M215" s="179">
        <v>500</v>
      </c>
      <c r="N215" s="180">
        <v>1000</v>
      </c>
      <c r="O215" s="134" t="s">
        <v>367</v>
      </c>
      <c r="P215" s="29" t="s">
        <v>366</v>
      </c>
      <c r="Q215" s="29"/>
      <c r="R215" s="29" t="s">
        <v>361</v>
      </c>
    </row>
    <row r="216" spans="1:18" ht="30" hidden="1" customHeight="1">
      <c r="A216" s="11">
        <v>214</v>
      </c>
      <c r="B216" s="57" t="s">
        <v>19</v>
      </c>
      <c r="C216" s="12">
        <v>46111</v>
      </c>
      <c r="D216" s="26" t="s">
        <v>110</v>
      </c>
      <c r="E216" s="58" t="s">
        <v>19</v>
      </c>
      <c r="F216" s="26" t="s">
        <v>357</v>
      </c>
      <c r="G216" s="59">
        <v>4370069864</v>
      </c>
      <c r="H216" s="73" t="s">
        <v>218</v>
      </c>
      <c r="I216" s="153" t="s">
        <v>368</v>
      </c>
      <c r="J216" s="130" t="s">
        <v>34</v>
      </c>
      <c r="K216" s="130">
        <v>100</v>
      </c>
      <c r="L216" s="131"/>
      <c r="M216" s="179">
        <v>10</v>
      </c>
      <c r="N216" s="180">
        <v>1000</v>
      </c>
      <c r="O216" s="134" t="s">
        <v>367</v>
      </c>
      <c r="P216" s="29" t="s">
        <v>366</v>
      </c>
      <c r="Q216" s="29"/>
      <c r="R216" s="29" t="s">
        <v>361</v>
      </c>
    </row>
    <row r="217" spans="1:18" ht="30" hidden="1" customHeight="1">
      <c r="A217" s="11">
        <v>215</v>
      </c>
      <c r="B217" s="57" t="s">
        <v>19</v>
      </c>
      <c r="C217" s="58">
        <v>46126</v>
      </c>
      <c r="D217" s="58" t="s">
        <v>369</v>
      </c>
      <c r="E217" s="58" t="s">
        <v>19</v>
      </c>
      <c r="F217" s="120">
        <v>46125</v>
      </c>
      <c r="G217" s="59" t="s">
        <v>370</v>
      </c>
      <c r="H217" s="73" t="s">
        <v>371</v>
      </c>
      <c r="I217" s="129" t="s">
        <v>372</v>
      </c>
      <c r="J217" s="130" t="s">
        <v>66</v>
      </c>
      <c r="K217" s="130">
        <v>120</v>
      </c>
      <c r="L217" s="131"/>
      <c r="M217" s="179">
        <v>50</v>
      </c>
      <c r="N217" s="180">
        <v>6000</v>
      </c>
      <c r="O217" s="134" t="s">
        <v>373</v>
      </c>
      <c r="P217" s="29" t="s">
        <v>374</v>
      </c>
      <c r="Q217" s="29"/>
      <c r="R217" s="29" t="s">
        <v>361</v>
      </c>
    </row>
    <row r="218" spans="1:18" ht="30" hidden="1" customHeight="1">
      <c r="A218" s="11">
        <v>216</v>
      </c>
      <c r="B218" s="57" t="s">
        <v>19</v>
      </c>
      <c r="C218" s="12">
        <v>46136</v>
      </c>
      <c r="D218" s="58" t="s">
        <v>375</v>
      </c>
      <c r="E218" s="58" t="s">
        <v>19</v>
      </c>
      <c r="F218" s="12">
        <v>46135</v>
      </c>
      <c r="G218" s="59" t="s">
        <v>370</v>
      </c>
      <c r="H218" s="73" t="s">
        <v>376</v>
      </c>
      <c r="I218" s="129"/>
      <c r="J218" s="130" t="s">
        <v>66</v>
      </c>
      <c r="K218" s="130">
        <v>5</v>
      </c>
      <c r="L218" s="131"/>
      <c r="M218" s="179">
        <v>190</v>
      </c>
      <c r="N218" s="180">
        <v>950</v>
      </c>
      <c r="O218" s="134" t="s">
        <v>377</v>
      </c>
      <c r="P218" s="29" t="s">
        <v>374</v>
      </c>
      <c r="Q218" s="29"/>
      <c r="R218" s="29" t="s">
        <v>361</v>
      </c>
    </row>
    <row r="219" spans="1:18" ht="30" hidden="1" customHeight="1">
      <c r="A219" s="11">
        <v>217</v>
      </c>
      <c r="B219" s="57" t="s">
        <v>19</v>
      </c>
      <c r="C219" s="12">
        <v>46119</v>
      </c>
      <c r="D219" s="58" t="s">
        <v>27</v>
      </c>
      <c r="E219" s="58" t="s">
        <v>19</v>
      </c>
      <c r="F219" s="12">
        <v>46120</v>
      </c>
      <c r="G219" s="59" t="s">
        <v>370</v>
      </c>
      <c r="H219" s="73" t="s">
        <v>40</v>
      </c>
      <c r="I219" s="129" t="s">
        <v>378</v>
      </c>
      <c r="J219" s="130" t="s">
        <v>42</v>
      </c>
      <c r="K219" s="130">
        <v>20</v>
      </c>
      <c r="L219" s="131"/>
      <c r="M219" s="179">
        <v>99</v>
      </c>
      <c r="N219" s="180">
        <v>1980</v>
      </c>
      <c r="O219" s="134" t="s">
        <v>377</v>
      </c>
      <c r="P219" s="29" t="s">
        <v>374</v>
      </c>
      <c r="Q219" s="29"/>
      <c r="R219" s="29" t="s">
        <v>361</v>
      </c>
    </row>
    <row r="220" spans="1:18" ht="30" hidden="1" customHeight="1">
      <c r="A220" s="11">
        <v>218</v>
      </c>
      <c r="B220" s="57" t="s">
        <v>19</v>
      </c>
      <c r="C220" s="12">
        <v>46119</v>
      </c>
      <c r="D220" s="58" t="s">
        <v>369</v>
      </c>
      <c r="E220" s="58" t="s">
        <v>19</v>
      </c>
      <c r="F220" s="12">
        <v>46128</v>
      </c>
      <c r="G220" s="59" t="s">
        <v>370</v>
      </c>
      <c r="H220" s="73" t="s">
        <v>379</v>
      </c>
      <c r="I220" s="129" t="s">
        <v>380</v>
      </c>
      <c r="J220" s="130" t="s">
        <v>216</v>
      </c>
      <c r="K220" s="130">
        <v>20</v>
      </c>
      <c r="L220" s="131"/>
      <c r="M220" s="179">
        <v>45</v>
      </c>
      <c r="N220" s="180">
        <v>900</v>
      </c>
      <c r="O220" s="134" t="s">
        <v>377</v>
      </c>
      <c r="P220" s="29" t="s">
        <v>374</v>
      </c>
      <c r="Q220" s="29"/>
      <c r="R220" s="29" t="s">
        <v>361</v>
      </c>
    </row>
    <row r="221" spans="1:18" ht="30" hidden="1" customHeight="1">
      <c r="A221" s="11">
        <v>219</v>
      </c>
      <c r="B221" s="57" t="s">
        <v>19</v>
      </c>
      <c r="C221" s="12">
        <v>46112</v>
      </c>
      <c r="D221" s="58" t="s">
        <v>61</v>
      </c>
      <c r="E221" s="58" t="s">
        <v>19</v>
      </c>
      <c r="F221" s="12">
        <v>46112</v>
      </c>
      <c r="G221" s="59">
        <v>4370069974</v>
      </c>
      <c r="H221" s="73" t="s">
        <v>125</v>
      </c>
      <c r="I221" s="129" t="s">
        <v>318</v>
      </c>
      <c r="J221" s="130" t="s">
        <v>23</v>
      </c>
      <c r="K221" s="130">
        <v>10</v>
      </c>
      <c r="L221" s="131"/>
      <c r="M221" s="179">
        <v>1900</v>
      </c>
      <c r="N221" s="180">
        <v>19000</v>
      </c>
      <c r="O221" s="134" t="s">
        <v>381</v>
      </c>
      <c r="P221" s="29" t="s">
        <v>382</v>
      </c>
      <c r="Q221" s="241"/>
      <c r="R221" s="29" t="s">
        <v>361</v>
      </c>
    </row>
    <row r="222" spans="1:18" ht="30" hidden="1" customHeight="1">
      <c r="A222" s="11">
        <v>220</v>
      </c>
      <c r="B222" s="57" t="s">
        <v>19</v>
      </c>
      <c r="C222" s="12">
        <v>46170</v>
      </c>
      <c r="D222" s="58" t="s">
        <v>144</v>
      </c>
      <c r="E222" s="114" t="s">
        <v>19</v>
      </c>
      <c r="F222" s="12" t="s">
        <v>383</v>
      </c>
      <c r="G222" s="59">
        <v>4370069974</v>
      </c>
      <c r="H222" s="73" t="s">
        <v>145</v>
      </c>
      <c r="I222" s="129" t="s">
        <v>277</v>
      </c>
      <c r="J222" s="130" t="s">
        <v>147</v>
      </c>
      <c r="K222" s="232">
        <v>4</v>
      </c>
      <c r="L222" s="131"/>
      <c r="M222" s="179">
        <v>2800</v>
      </c>
      <c r="N222" s="180">
        <v>14000</v>
      </c>
      <c r="O222" s="135" t="s">
        <v>384</v>
      </c>
      <c r="P222" s="29" t="s">
        <v>382</v>
      </c>
      <c r="Q222" s="29" t="s">
        <v>385</v>
      </c>
      <c r="R222" s="29" t="s">
        <v>361</v>
      </c>
    </row>
    <row r="223" spans="1:18" ht="30" hidden="1" customHeight="1">
      <c r="A223" s="11">
        <v>221</v>
      </c>
      <c r="B223" s="57" t="s">
        <v>19</v>
      </c>
      <c r="C223" s="12">
        <v>46121</v>
      </c>
      <c r="D223" s="58" t="s">
        <v>386</v>
      </c>
      <c r="E223" s="58" t="s">
        <v>19</v>
      </c>
      <c r="F223" s="12">
        <v>46120</v>
      </c>
      <c r="G223" s="59">
        <v>4370069974</v>
      </c>
      <c r="H223" s="73" t="s">
        <v>287</v>
      </c>
      <c r="I223" s="129" t="s">
        <v>288</v>
      </c>
      <c r="J223" s="130" t="s">
        <v>23</v>
      </c>
      <c r="K223" s="130">
        <v>12</v>
      </c>
      <c r="L223" s="131"/>
      <c r="M223" s="179">
        <v>390</v>
      </c>
      <c r="N223" s="180">
        <v>4680</v>
      </c>
      <c r="O223" s="134" t="s">
        <v>298</v>
      </c>
      <c r="P223" s="29" t="s">
        <v>382</v>
      </c>
      <c r="Q223" s="29"/>
      <c r="R223" s="29" t="s">
        <v>361</v>
      </c>
    </row>
    <row r="224" spans="1:18" ht="30" hidden="1" customHeight="1">
      <c r="A224" s="11">
        <v>222</v>
      </c>
      <c r="B224" s="57" t="s">
        <v>19</v>
      </c>
      <c r="C224" s="12">
        <v>46112</v>
      </c>
      <c r="D224" s="58" t="s">
        <v>61</v>
      </c>
      <c r="E224" s="58" t="s">
        <v>19</v>
      </c>
      <c r="F224" s="12">
        <v>46112</v>
      </c>
      <c r="G224" s="59">
        <v>4370070013</v>
      </c>
      <c r="H224" s="73" t="s">
        <v>125</v>
      </c>
      <c r="I224" s="129" t="s">
        <v>318</v>
      </c>
      <c r="J224" s="130" t="s">
        <v>23</v>
      </c>
      <c r="K224" s="130">
        <v>50</v>
      </c>
      <c r="L224" s="131"/>
      <c r="M224" s="179">
        <v>1900</v>
      </c>
      <c r="N224" s="180">
        <v>95000</v>
      </c>
      <c r="O224" s="134" t="s">
        <v>387</v>
      </c>
      <c r="P224" s="29" t="s">
        <v>388</v>
      </c>
      <c r="Q224" s="29"/>
      <c r="R224" s="29" t="s">
        <v>361</v>
      </c>
    </row>
    <row r="225" spans="1:18" ht="30" hidden="1" customHeight="1">
      <c r="A225" s="11">
        <v>223</v>
      </c>
      <c r="B225" s="57"/>
      <c r="C225" s="12"/>
      <c r="D225" s="58" t="s">
        <v>144</v>
      </c>
      <c r="E225" s="114" t="s">
        <v>19</v>
      </c>
      <c r="F225" s="12" t="s">
        <v>383</v>
      </c>
      <c r="G225" s="59">
        <v>4370070013</v>
      </c>
      <c r="H225" s="73" t="s">
        <v>145</v>
      </c>
      <c r="I225" s="129" t="s">
        <v>277</v>
      </c>
      <c r="J225" s="130" t="s">
        <v>147</v>
      </c>
      <c r="K225" s="130">
        <v>13</v>
      </c>
      <c r="L225" s="131"/>
      <c r="M225" s="179">
        <v>2800</v>
      </c>
      <c r="N225" s="180">
        <v>36400</v>
      </c>
      <c r="O225" s="135" t="s">
        <v>389</v>
      </c>
      <c r="P225" s="29" t="s">
        <v>388</v>
      </c>
      <c r="Q225" s="29"/>
      <c r="R225" s="29" t="s">
        <v>361</v>
      </c>
    </row>
    <row r="226" spans="1:18" ht="30" hidden="1" customHeight="1">
      <c r="A226" s="11">
        <v>224</v>
      </c>
      <c r="B226" s="57" t="s">
        <v>19</v>
      </c>
      <c r="C226" s="12">
        <v>46122</v>
      </c>
      <c r="D226" s="58" t="s">
        <v>93</v>
      </c>
      <c r="E226" s="58" t="s">
        <v>19</v>
      </c>
      <c r="F226" s="12">
        <v>46122</v>
      </c>
      <c r="G226" s="59">
        <v>4370070013</v>
      </c>
      <c r="H226" s="73" t="s">
        <v>136</v>
      </c>
      <c r="I226" s="129" t="s">
        <v>390</v>
      </c>
      <c r="J226" s="130" t="s">
        <v>66</v>
      </c>
      <c r="K226" s="130">
        <v>2</v>
      </c>
      <c r="L226" s="131"/>
      <c r="M226" s="179">
        <v>6500</v>
      </c>
      <c r="N226" s="180">
        <v>13000</v>
      </c>
      <c r="O226" s="134" t="s">
        <v>24</v>
      </c>
      <c r="P226" s="29" t="s">
        <v>388</v>
      </c>
      <c r="Q226" s="29"/>
      <c r="R226" s="29" t="s">
        <v>361</v>
      </c>
    </row>
    <row r="227" spans="1:18" ht="30" hidden="1" customHeight="1">
      <c r="A227" s="11">
        <v>225</v>
      </c>
      <c r="B227" s="57" t="s">
        <v>19</v>
      </c>
      <c r="C227" s="12">
        <v>46121</v>
      </c>
      <c r="D227" s="58" t="s">
        <v>386</v>
      </c>
      <c r="E227" s="58" t="s">
        <v>19</v>
      </c>
      <c r="F227" s="12">
        <v>46120</v>
      </c>
      <c r="G227" s="59">
        <v>4370070013</v>
      </c>
      <c r="H227" s="73" t="s">
        <v>287</v>
      </c>
      <c r="I227" s="129" t="s">
        <v>288</v>
      </c>
      <c r="J227" s="130" t="s">
        <v>23</v>
      </c>
      <c r="K227" s="130">
        <v>20</v>
      </c>
      <c r="L227" s="131"/>
      <c r="M227" s="179">
        <v>500</v>
      </c>
      <c r="N227" s="180">
        <v>10000</v>
      </c>
      <c r="O227" s="134" t="s">
        <v>24</v>
      </c>
      <c r="P227" s="29" t="s">
        <v>388</v>
      </c>
      <c r="Q227" s="29"/>
      <c r="R227" s="29" t="s">
        <v>361</v>
      </c>
    </row>
    <row r="228" spans="1:18" ht="30" hidden="1" customHeight="1">
      <c r="A228" s="11">
        <v>226</v>
      </c>
      <c r="B228" s="57" t="s">
        <v>19</v>
      </c>
      <c r="C228" s="12">
        <v>46122</v>
      </c>
      <c r="D228" s="58" t="s">
        <v>93</v>
      </c>
      <c r="E228" s="58" t="s">
        <v>19</v>
      </c>
      <c r="F228" s="12">
        <v>46122</v>
      </c>
      <c r="G228" s="59" t="s">
        <v>391</v>
      </c>
      <c r="H228" s="73" t="s">
        <v>136</v>
      </c>
      <c r="I228" s="129" t="s">
        <v>390</v>
      </c>
      <c r="J228" s="130" t="s">
        <v>66</v>
      </c>
      <c r="K228" s="130">
        <v>3</v>
      </c>
      <c r="L228" s="131"/>
      <c r="M228" s="179">
        <v>6500</v>
      </c>
      <c r="N228" s="180">
        <v>19500</v>
      </c>
      <c r="O228" s="134" t="s">
        <v>392</v>
      </c>
      <c r="P228" s="29" t="s">
        <v>393</v>
      </c>
      <c r="Q228" s="29"/>
      <c r="R228" s="29" t="s">
        <v>361</v>
      </c>
    </row>
    <row r="229" spans="1:18" ht="30" hidden="1" customHeight="1">
      <c r="A229" s="11">
        <v>227</v>
      </c>
      <c r="B229" s="57" t="s">
        <v>19</v>
      </c>
      <c r="C229" s="12">
        <v>46163</v>
      </c>
      <c r="D229" s="58" t="s">
        <v>27</v>
      </c>
      <c r="E229" s="114" t="s">
        <v>19</v>
      </c>
      <c r="F229" s="120">
        <v>46155</v>
      </c>
      <c r="G229" s="59" t="s">
        <v>391</v>
      </c>
      <c r="H229" s="73" t="s">
        <v>187</v>
      </c>
      <c r="I229" s="129" t="s">
        <v>188</v>
      </c>
      <c r="J229" s="130" t="s">
        <v>34</v>
      </c>
      <c r="K229" s="130">
        <v>1</v>
      </c>
      <c r="L229" s="131"/>
      <c r="M229" s="179">
        <v>3222</v>
      </c>
      <c r="N229" s="180">
        <v>3222</v>
      </c>
      <c r="O229" s="134" t="s">
        <v>392</v>
      </c>
      <c r="P229" s="29" t="s">
        <v>393</v>
      </c>
      <c r="Q229" s="29"/>
      <c r="R229" s="29" t="s">
        <v>361</v>
      </c>
    </row>
    <row r="230" spans="1:18" ht="30" hidden="1" customHeight="1">
      <c r="A230" s="11">
        <v>228</v>
      </c>
      <c r="B230" s="57" t="s">
        <v>19</v>
      </c>
      <c r="C230" s="12">
        <v>46127</v>
      </c>
      <c r="D230" s="58" t="s">
        <v>27</v>
      </c>
      <c r="E230" s="58" t="s">
        <v>19</v>
      </c>
      <c r="F230" s="12">
        <v>46127</v>
      </c>
      <c r="G230" s="59" t="s">
        <v>391</v>
      </c>
      <c r="H230" s="211" t="s">
        <v>200</v>
      </c>
      <c r="I230" s="233" t="s">
        <v>201</v>
      </c>
      <c r="J230" s="130" t="s">
        <v>202</v>
      </c>
      <c r="K230" s="130">
        <v>8</v>
      </c>
      <c r="L230" s="131"/>
      <c r="M230" s="179">
        <v>400</v>
      </c>
      <c r="N230" s="180">
        <v>3200</v>
      </c>
      <c r="O230" s="134" t="s">
        <v>392</v>
      </c>
      <c r="P230" s="29" t="s">
        <v>393</v>
      </c>
      <c r="Q230" s="29"/>
      <c r="R230" s="29" t="s">
        <v>361</v>
      </c>
    </row>
    <row r="231" spans="1:18" ht="30" hidden="1" customHeight="1">
      <c r="A231" s="11">
        <v>229</v>
      </c>
      <c r="B231" s="57" t="s">
        <v>19</v>
      </c>
      <c r="C231" s="12">
        <v>46127</v>
      </c>
      <c r="D231" s="58" t="s">
        <v>27</v>
      </c>
      <c r="E231" s="58" t="s">
        <v>19</v>
      </c>
      <c r="F231" s="12">
        <v>46126</v>
      </c>
      <c r="G231" s="59" t="s">
        <v>391</v>
      </c>
      <c r="H231" s="73" t="s">
        <v>176</v>
      </c>
      <c r="I231" s="129"/>
      <c r="J231" s="130" t="s">
        <v>202</v>
      </c>
      <c r="K231" s="130">
        <v>8</v>
      </c>
      <c r="L231" s="131"/>
      <c r="M231" s="179">
        <v>250</v>
      </c>
      <c r="N231" s="180">
        <v>2000</v>
      </c>
      <c r="O231" s="134" t="s">
        <v>392</v>
      </c>
      <c r="P231" s="29" t="s">
        <v>393</v>
      </c>
      <c r="Q231" s="29"/>
      <c r="R231" s="29" t="s">
        <v>361</v>
      </c>
    </row>
    <row r="232" spans="1:18" ht="30" hidden="1" customHeight="1">
      <c r="A232" s="11">
        <v>230</v>
      </c>
      <c r="B232" s="57" t="s">
        <v>19</v>
      </c>
      <c r="C232" s="12">
        <v>46127</v>
      </c>
      <c r="D232" s="58" t="s">
        <v>27</v>
      </c>
      <c r="E232" s="58" t="s">
        <v>19</v>
      </c>
      <c r="F232" s="12">
        <v>46126</v>
      </c>
      <c r="G232" s="59" t="s">
        <v>391</v>
      </c>
      <c r="H232" s="73" t="s">
        <v>394</v>
      </c>
      <c r="I232" s="129" t="s">
        <v>395</v>
      </c>
      <c r="J232" s="130" t="s">
        <v>66</v>
      </c>
      <c r="K232" s="130">
        <v>18</v>
      </c>
      <c r="L232" s="131"/>
      <c r="M232" s="179">
        <v>55</v>
      </c>
      <c r="N232" s="180">
        <v>990</v>
      </c>
      <c r="O232" s="134" t="s">
        <v>392</v>
      </c>
      <c r="P232" s="29" t="s">
        <v>393</v>
      </c>
      <c r="Q232" s="29"/>
      <c r="R232" s="29" t="s">
        <v>361</v>
      </c>
    </row>
    <row r="233" spans="1:18" ht="30" hidden="1" customHeight="1">
      <c r="A233" s="11">
        <v>231</v>
      </c>
      <c r="B233" s="57" t="s">
        <v>19</v>
      </c>
      <c r="C233" s="12">
        <v>46127</v>
      </c>
      <c r="D233" s="58" t="s">
        <v>27</v>
      </c>
      <c r="E233" s="58" t="s">
        <v>19</v>
      </c>
      <c r="F233" s="12">
        <v>46126</v>
      </c>
      <c r="G233" s="59" t="s">
        <v>391</v>
      </c>
      <c r="H233" s="73" t="s">
        <v>394</v>
      </c>
      <c r="I233" s="129" t="s">
        <v>396</v>
      </c>
      <c r="J233" s="130" t="s">
        <v>66</v>
      </c>
      <c r="K233" s="130">
        <v>18</v>
      </c>
      <c r="L233" s="131"/>
      <c r="M233" s="179">
        <v>55</v>
      </c>
      <c r="N233" s="180">
        <v>990</v>
      </c>
      <c r="O233" s="134" t="s">
        <v>392</v>
      </c>
      <c r="P233" s="29" t="s">
        <v>393</v>
      </c>
      <c r="Q233" s="29"/>
      <c r="R233" s="29" t="s">
        <v>361</v>
      </c>
    </row>
    <row r="234" spans="1:18" ht="30" hidden="1" customHeight="1">
      <c r="A234" s="11">
        <v>232</v>
      </c>
      <c r="B234" s="57" t="s">
        <v>19</v>
      </c>
      <c r="C234" s="12">
        <v>46127</v>
      </c>
      <c r="D234" s="58" t="s">
        <v>27</v>
      </c>
      <c r="E234" s="58" t="s">
        <v>19</v>
      </c>
      <c r="F234" s="12">
        <v>46126</v>
      </c>
      <c r="G234" s="59" t="s">
        <v>391</v>
      </c>
      <c r="H234" s="73" t="s">
        <v>394</v>
      </c>
      <c r="I234" s="129" t="s">
        <v>397</v>
      </c>
      <c r="J234" s="130" t="s">
        <v>66</v>
      </c>
      <c r="K234" s="130">
        <v>15</v>
      </c>
      <c r="L234" s="131"/>
      <c r="M234" s="179">
        <v>55</v>
      </c>
      <c r="N234" s="180">
        <v>825</v>
      </c>
      <c r="O234" s="134" t="s">
        <v>392</v>
      </c>
      <c r="P234" s="29" t="s">
        <v>393</v>
      </c>
      <c r="Q234" s="29"/>
      <c r="R234" s="29" t="s">
        <v>361</v>
      </c>
    </row>
    <row r="235" spans="1:18" ht="30" hidden="1" customHeight="1">
      <c r="A235" s="11">
        <v>233</v>
      </c>
      <c r="B235" s="57" t="s">
        <v>19</v>
      </c>
      <c r="C235" s="12">
        <v>46119</v>
      </c>
      <c r="D235" s="58" t="s">
        <v>93</v>
      </c>
      <c r="E235" s="58" t="s">
        <v>19</v>
      </c>
      <c r="F235" s="12">
        <v>46114</v>
      </c>
      <c r="G235" s="59" t="s">
        <v>391</v>
      </c>
      <c r="H235" s="20" t="s">
        <v>398</v>
      </c>
      <c r="I235" s="50" t="s">
        <v>399</v>
      </c>
      <c r="J235" s="22" t="s">
        <v>34</v>
      </c>
      <c r="K235" s="22">
        <v>3</v>
      </c>
      <c r="L235" s="234"/>
      <c r="M235" s="235">
        <v>300</v>
      </c>
      <c r="N235" s="236">
        <v>900</v>
      </c>
      <c r="O235" s="237" t="s">
        <v>392</v>
      </c>
      <c r="P235" s="29" t="s">
        <v>393</v>
      </c>
      <c r="Q235" s="29"/>
      <c r="R235" s="29" t="s">
        <v>361</v>
      </c>
    </row>
    <row r="236" spans="1:18" ht="30" hidden="1" customHeight="1">
      <c r="A236" s="11">
        <v>234</v>
      </c>
      <c r="B236" s="57" t="s">
        <v>19</v>
      </c>
      <c r="C236" s="12">
        <v>46114</v>
      </c>
      <c r="D236" s="58" t="s">
        <v>93</v>
      </c>
      <c r="E236" s="58"/>
      <c r="F236" s="212" t="s">
        <v>400</v>
      </c>
      <c r="G236" s="59" t="s">
        <v>391</v>
      </c>
      <c r="H236" s="20" t="s">
        <v>398</v>
      </c>
      <c r="I236" s="50" t="s">
        <v>401</v>
      </c>
      <c r="J236" s="22" t="s">
        <v>34</v>
      </c>
      <c r="K236" s="22">
        <v>3</v>
      </c>
      <c r="L236" s="234"/>
      <c r="M236" s="235">
        <v>300</v>
      </c>
      <c r="N236" s="236">
        <v>900</v>
      </c>
      <c r="O236" s="237" t="s">
        <v>392</v>
      </c>
      <c r="P236" s="29" t="s">
        <v>393</v>
      </c>
      <c r="Q236" s="29"/>
      <c r="R236" s="29" t="s">
        <v>361</v>
      </c>
    </row>
    <row r="237" spans="1:18" ht="30" hidden="1" customHeight="1">
      <c r="A237" s="11">
        <v>235</v>
      </c>
      <c r="B237" s="57" t="s">
        <v>19</v>
      </c>
      <c r="C237" s="12">
        <v>46127</v>
      </c>
      <c r="D237" s="58" t="s">
        <v>27</v>
      </c>
      <c r="E237" s="58" t="s">
        <v>19</v>
      </c>
      <c r="F237" s="12">
        <v>46126</v>
      </c>
      <c r="G237" s="59" t="s">
        <v>391</v>
      </c>
      <c r="H237" s="73" t="s">
        <v>394</v>
      </c>
      <c r="I237" s="129" t="s">
        <v>402</v>
      </c>
      <c r="J237" s="130" t="s">
        <v>66</v>
      </c>
      <c r="K237" s="130">
        <v>7</v>
      </c>
      <c r="L237" s="131"/>
      <c r="M237" s="179">
        <v>55</v>
      </c>
      <c r="N237" s="180">
        <v>385</v>
      </c>
      <c r="O237" s="134" t="s">
        <v>392</v>
      </c>
      <c r="P237" s="29" t="s">
        <v>393</v>
      </c>
      <c r="Q237" s="29"/>
      <c r="R237" s="29" t="s">
        <v>361</v>
      </c>
    </row>
    <row r="238" spans="1:18" ht="30" hidden="1" customHeight="1">
      <c r="A238" s="11">
        <v>236</v>
      </c>
      <c r="B238" s="57" t="s">
        <v>19</v>
      </c>
      <c r="C238" s="12">
        <v>46127</v>
      </c>
      <c r="D238" s="58" t="s">
        <v>27</v>
      </c>
      <c r="E238" s="58" t="s">
        <v>19</v>
      </c>
      <c r="F238" s="12">
        <v>46126</v>
      </c>
      <c r="G238" s="59" t="s">
        <v>391</v>
      </c>
      <c r="H238" s="73" t="s">
        <v>394</v>
      </c>
      <c r="I238" s="129" t="s">
        <v>403</v>
      </c>
      <c r="J238" s="130" t="s">
        <v>66</v>
      </c>
      <c r="K238" s="130">
        <v>7</v>
      </c>
      <c r="L238" s="131"/>
      <c r="M238" s="179">
        <v>55</v>
      </c>
      <c r="N238" s="180">
        <v>385</v>
      </c>
      <c r="O238" s="134" t="s">
        <v>392</v>
      </c>
      <c r="P238" s="29" t="s">
        <v>393</v>
      </c>
      <c r="Q238" s="29"/>
      <c r="R238" s="29" t="s">
        <v>361</v>
      </c>
    </row>
    <row r="239" spans="1:18" ht="30" hidden="1" customHeight="1">
      <c r="A239" s="11">
        <v>237</v>
      </c>
      <c r="B239" s="57" t="s">
        <v>19</v>
      </c>
      <c r="C239" s="12">
        <v>46127</v>
      </c>
      <c r="D239" s="58" t="s">
        <v>27</v>
      </c>
      <c r="E239" s="58" t="s">
        <v>19</v>
      </c>
      <c r="F239" s="12">
        <v>46126</v>
      </c>
      <c r="G239" s="59" t="s">
        <v>391</v>
      </c>
      <c r="H239" s="73" t="s">
        <v>394</v>
      </c>
      <c r="I239" s="129" t="s">
        <v>404</v>
      </c>
      <c r="J239" s="130" t="s">
        <v>66</v>
      </c>
      <c r="K239" s="130">
        <v>7</v>
      </c>
      <c r="L239" s="131"/>
      <c r="M239" s="179">
        <v>55</v>
      </c>
      <c r="N239" s="180">
        <v>385</v>
      </c>
      <c r="O239" s="134" t="s">
        <v>392</v>
      </c>
      <c r="P239" s="29" t="s">
        <v>393</v>
      </c>
      <c r="Q239" s="29"/>
      <c r="R239" s="29" t="s">
        <v>361</v>
      </c>
    </row>
    <row r="240" spans="1:18" ht="30" hidden="1" customHeight="1">
      <c r="A240" s="11">
        <v>238</v>
      </c>
      <c r="B240" s="57" t="s">
        <v>19</v>
      </c>
      <c r="C240" s="12">
        <v>46119</v>
      </c>
      <c r="D240" s="58" t="s">
        <v>405</v>
      </c>
      <c r="E240" s="58" t="s">
        <v>19</v>
      </c>
      <c r="F240" s="12">
        <v>46123</v>
      </c>
      <c r="G240" s="59" t="s">
        <v>391</v>
      </c>
      <c r="H240" s="73" t="s">
        <v>253</v>
      </c>
      <c r="I240" s="129" t="s">
        <v>406</v>
      </c>
      <c r="J240" s="130" t="s">
        <v>66</v>
      </c>
      <c r="K240" s="130">
        <v>3</v>
      </c>
      <c r="L240" s="131"/>
      <c r="M240" s="179">
        <v>100</v>
      </c>
      <c r="N240" s="180">
        <v>300</v>
      </c>
      <c r="O240" s="134" t="s">
        <v>392</v>
      </c>
      <c r="P240" s="29" t="s">
        <v>393</v>
      </c>
      <c r="Q240" s="29"/>
      <c r="R240" s="29" t="s">
        <v>361</v>
      </c>
    </row>
    <row r="241" spans="1:18" ht="30" hidden="1" customHeight="1">
      <c r="A241" s="11">
        <v>239</v>
      </c>
      <c r="B241" s="57" t="s">
        <v>19</v>
      </c>
      <c r="C241" s="12">
        <v>46127</v>
      </c>
      <c r="D241" s="58" t="s">
        <v>27</v>
      </c>
      <c r="E241" s="58" t="s">
        <v>19</v>
      </c>
      <c r="F241" s="12">
        <v>46126</v>
      </c>
      <c r="G241" s="59" t="s">
        <v>391</v>
      </c>
      <c r="H241" s="73" t="s">
        <v>394</v>
      </c>
      <c r="I241" s="129" t="s">
        <v>407</v>
      </c>
      <c r="J241" s="130" t="s">
        <v>66</v>
      </c>
      <c r="K241" s="130">
        <v>3</v>
      </c>
      <c r="L241" s="131"/>
      <c r="M241" s="179">
        <v>55</v>
      </c>
      <c r="N241" s="180">
        <v>165</v>
      </c>
      <c r="O241" s="134" t="s">
        <v>392</v>
      </c>
      <c r="P241" s="29" t="s">
        <v>393</v>
      </c>
      <c r="Q241" s="29"/>
      <c r="R241" s="29" t="s">
        <v>361</v>
      </c>
    </row>
    <row r="242" spans="1:18" ht="30" hidden="1" customHeight="1">
      <c r="A242" s="11">
        <v>240</v>
      </c>
      <c r="B242" s="57" t="s">
        <v>19</v>
      </c>
      <c r="C242" s="12">
        <v>46127</v>
      </c>
      <c r="D242" s="58" t="s">
        <v>27</v>
      </c>
      <c r="E242" s="58" t="s">
        <v>19</v>
      </c>
      <c r="F242" s="12">
        <v>46126</v>
      </c>
      <c r="G242" s="59" t="s">
        <v>391</v>
      </c>
      <c r="H242" s="73" t="s">
        <v>394</v>
      </c>
      <c r="I242" s="129" t="s">
        <v>408</v>
      </c>
      <c r="J242" s="130" t="s">
        <v>66</v>
      </c>
      <c r="K242" s="130">
        <v>3</v>
      </c>
      <c r="L242" s="131"/>
      <c r="M242" s="179">
        <v>55</v>
      </c>
      <c r="N242" s="180">
        <v>165</v>
      </c>
      <c r="O242" s="134" t="s">
        <v>392</v>
      </c>
      <c r="P242" s="29" t="s">
        <v>393</v>
      </c>
      <c r="Q242" s="29"/>
      <c r="R242" s="29" t="s">
        <v>361</v>
      </c>
    </row>
    <row r="243" spans="1:18" ht="30" hidden="1" customHeight="1">
      <c r="A243" s="11">
        <v>241</v>
      </c>
      <c r="B243" s="57" t="s">
        <v>19</v>
      </c>
      <c r="C243" s="12">
        <v>46127</v>
      </c>
      <c r="D243" s="58" t="s">
        <v>27</v>
      </c>
      <c r="E243" s="58" t="s">
        <v>19</v>
      </c>
      <c r="F243" s="12">
        <v>46126</v>
      </c>
      <c r="G243" s="59" t="s">
        <v>391</v>
      </c>
      <c r="H243" s="73" t="s">
        <v>394</v>
      </c>
      <c r="I243" s="129" t="s">
        <v>409</v>
      </c>
      <c r="J243" s="130" t="s">
        <v>66</v>
      </c>
      <c r="K243" s="130">
        <v>3</v>
      </c>
      <c r="L243" s="131"/>
      <c r="M243" s="179">
        <v>55</v>
      </c>
      <c r="N243" s="180">
        <v>165</v>
      </c>
      <c r="O243" s="134" t="s">
        <v>392</v>
      </c>
      <c r="P243" s="29" t="s">
        <v>393</v>
      </c>
      <c r="Q243" s="29"/>
      <c r="R243" s="29" t="s">
        <v>361</v>
      </c>
    </row>
    <row r="244" spans="1:18" ht="30" hidden="1" customHeight="1">
      <c r="A244" s="11">
        <v>242</v>
      </c>
      <c r="B244" s="57" t="s">
        <v>19</v>
      </c>
      <c r="C244" s="12">
        <v>46113</v>
      </c>
      <c r="D244" s="58" t="s">
        <v>27</v>
      </c>
      <c r="E244" s="58"/>
      <c r="F244" s="212" t="s">
        <v>410</v>
      </c>
      <c r="G244" s="59" t="s">
        <v>391</v>
      </c>
      <c r="H244" s="213" t="s">
        <v>254</v>
      </c>
      <c r="I244" s="129"/>
      <c r="J244" s="130" t="s">
        <v>155</v>
      </c>
      <c r="K244" s="130">
        <v>15</v>
      </c>
      <c r="L244" s="131"/>
      <c r="M244" s="179">
        <v>5</v>
      </c>
      <c r="N244" s="180">
        <v>75</v>
      </c>
      <c r="O244" s="134" t="s">
        <v>392</v>
      </c>
      <c r="P244" s="29" t="s">
        <v>393</v>
      </c>
      <c r="Q244" s="241" t="s">
        <v>411</v>
      </c>
      <c r="R244" s="29" t="s">
        <v>361</v>
      </c>
    </row>
    <row r="245" spans="1:18" ht="30" hidden="1" customHeight="1">
      <c r="A245" s="11">
        <v>243</v>
      </c>
      <c r="B245" s="79" t="s">
        <v>19</v>
      </c>
      <c r="C245" s="83" t="s">
        <v>412</v>
      </c>
      <c r="D245" s="58" t="s">
        <v>27</v>
      </c>
      <c r="E245" s="58" t="s">
        <v>19</v>
      </c>
      <c r="F245" s="214" t="s">
        <v>413</v>
      </c>
      <c r="G245" s="59">
        <v>4370070044</v>
      </c>
      <c r="H245" s="73" t="s">
        <v>113</v>
      </c>
      <c r="I245" s="153" t="s">
        <v>414</v>
      </c>
      <c r="J245" s="130" t="s">
        <v>115</v>
      </c>
      <c r="K245" s="130">
        <v>400</v>
      </c>
      <c r="L245" s="131"/>
      <c r="M245" s="179">
        <v>150</v>
      </c>
      <c r="N245" s="180">
        <v>60000</v>
      </c>
      <c r="O245" s="135" t="s">
        <v>415</v>
      </c>
      <c r="P245" s="29" t="s">
        <v>416</v>
      </c>
      <c r="Q245" s="29"/>
      <c r="R245" s="29" t="s">
        <v>361</v>
      </c>
    </row>
    <row r="246" spans="1:18" ht="30" hidden="1" customHeight="1">
      <c r="A246" s="11">
        <v>244</v>
      </c>
      <c r="B246" s="79" t="s">
        <v>19</v>
      </c>
      <c r="C246" s="83" t="s">
        <v>417</v>
      </c>
      <c r="D246" s="58" t="s">
        <v>418</v>
      </c>
      <c r="E246" s="58" t="s">
        <v>19</v>
      </c>
      <c r="F246" s="12" t="s">
        <v>419</v>
      </c>
      <c r="G246" s="59">
        <v>4370070044</v>
      </c>
      <c r="H246" s="73" t="s">
        <v>117</v>
      </c>
      <c r="I246" s="153" t="s">
        <v>420</v>
      </c>
      <c r="J246" s="130" t="s">
        <v>119</v>
      </c>
      <c r="K246" s="130">
        <v>400</v>
      </c>
      <c r="L246" s="131"/>
      <c r="M246" s="179">
        <v>130</v>
      </c>
      <c r="N246" s="180">
        <v>52000</v>
      </c>
      <c r="O246" s="135" t="s">
        <v>415</v>
      </c>
      <c r="P246" s="29" t="s">
        <v>416</v>
      </c>
      <c r="Q246" s="29"/>
      <c r="R246" s="29" t="s">
        <v>361</v>
      </c>
    </row>
    <row r="247" spans="1:18" ht="30" hidden="1" customHeight="1">
      <c r="A247" s="11">
        <v>245</v>
      </c>
      <c r="B247" s="57" t="s">
        <v>19</v>
      </c>
      <c r="C247" s="12">
        <v>46113</v>
      </c>
      <c r="D247" s="58" t="s">
        <v>27</v>
      </c>
      <c r="E247" s="58" t="s">
        <v>19</v>
      </c>
      <c r="F247" s="212" t="s">
        <v>421</v>
      </c>
      <c r="G247" s="59">
        <v>4370070044</v>
      </c>
      <c r="H247" s="73" t="s">
        <v>317</v>
      </c>
      <c r="I247" s="129"/>
      <c r="J247" s="130" t="s">
        <v>151</v>
      </c>
      <c r="K247" s="130">
        <v>400</v>
      </c>
      <c r="L247" s="131"/>
      <c r="M247" s="179">
        <v>60</v>
      </c>
      <c r="N247" s="180">
        <v>24000</v>
      </c>
      <c r="O247" s="135" t="s">
        <v>415</v>
      </c>
      <c r="P247" s="29" t="s">
        <v>416</v>
      </c>
      <c r="Q247" s="29"/>
      <c r="R247" s="29" t="s">
        <v>361</v>
      </c>
    </row>
    <row r="248" spans="1:18" ht="30" hidden="1" customHeight="1">
      <c r="A248" s="11">
        <v>246</v>
      </c>
      <c r="B248" s="57" t="s">
        <v>19</v>
      </c>
      <c r="C248" s="12">
        <v>46113</v>
      </c>
      <c r="D248" s="58" t="s">
        <v>44</v>
      </c>
      <c r="E248" s="58" t="s">
        <v>19</v>
      </c>
      <c r="F248" s="12">
        <v>46113</v>
      </c>
      <c r="G248" s="59">
        <v>4370070044</v>
      </c>
      <c r="H248" s="73" t="s">
        <v>45</v>
      </c>
      <c r="I248" s="129"/>
      <c r="J248" s="130" t="s">
        <v>46</v>
      </c>
      <c r="K248" s="130">
        <v>5</v>
      </c>
      <c r="L248" s="131"/>
      <c r="M248" s="179">
        <v>11170</v>
      </c>
      <c r="N248" s="180">
        <v>22340</v>
      </c>
      <c r="O248" s="135" t="s">
        <v>422</v>
      </c>
      <c r="P248" s="29" t="s">
        <v>416</v>
      </c>
      <c r="Q248" s="29"/>
      <c r="R248" s="29" t="s">
        <v>361</v>
      </c>
    </row>
    <row r="249" spans="1:18" ht="30" hidden="1" customHeight="1">
      <c r="A249" s="11">
        <v>247</v>
      </c>
      <c r="B249" s="57" t="s">
        <v>19</v>
      </c>
      <c r="C249" s="12">
        <v>46129</v>
      </c>
      <c r="D249" s="58" t="s">
        <v>27</v>
      </c>
      <c r="E249" s="58" t="s">
        <v>19</v>
      </c>
      <c r="F249" s="12">
        <v>46127</v>
      </c>
      <c r="G249" s="59">
        <v>4370070044</v>
      </c>
      <c r="H249" s="73" t="s">
        <v>101</v>
      </c>
      <c r="I249" s="153" t="s">
        <v>102</v>
      </c>
      <c r="J249" s="130" t="s">
        <v>66</v>
      </c>
      <c r="K249" s="130">
        <v>50</v>
      </c>
      <c r="L249" s="131"/>
      <c r="M249" s="179">
        <v>6000</v>
      </c>
      <c r="N249" s="180">
        <v>300000</v>
      </c>
      <c r="O249" s="134" t="s">
        <v>423</v>
      </c>
      <c r="P249" s="29" t="s">
        <v>416</v>
      </c>
      <c r="Q249" s="29"/>
      <c r="R249" s="29" t="s">
        <v>424</v>
      </c>
    </row>
    <row r="250" spans="1:18" ht="30" hidden="1" customHeight="1">
      <c r="A250" s="11">
        <v>248</v>
      </c>
      <c r="B250" s="57" t="s">
        <v>19</v>
      </c>
      <c r="C250" s="12">
        <v>46122</v>
      </c>
      <c r="D250" s="12" t="s">
        <v>93</v>
      </c>
      <c r="E250" s="58" t="s">
        <v>19</v>
      </c>
      <c r="F250" s="12">
        <v>46122</v>
      </c>
      <c r="G250" s="59">
        <v>4370070044</v>
      </c>
      <c r="H250" s="73" t="s">
        <v>96</v>
      </c>
      <c r="I250" s="129" t="s">
        <v>293</v>
      </c>
      <c r="J250" s="130" t="s">
        <v>46</v>
      </c>
      <c r="K250" s="130">
        <v>8</v>
      </c>
      <c r="L250" s="131"/>
      <c r="M250" s="179">
        <v>25500</v>
      </c>
      <c r="N250" s="180">
        <v>204000</v>
      </c>
      <c r="O250" s="134" t="s">
        <v>423</v>
      </c>
      <c r="P250" s="29" t="s">
        <v>416</v>
      </c>
      <c r="Q250" s="29"/>
      <c r="R250" s="29" t="s">
        <v>424</v>
      </c>
    </row>
    <row r="251" spans="1:18" ht="30" hidden="1" customHeight="1">
      <c r="A251" s="11">
        <v>249</v>
      </c>
      <c r="B251" s="57" t="s">
        <v>19</v>
      </c>
      <c r="C251" s="12">
        <v>46120</v>
      </c>
      <c r="D251" s="26" t="s">
        <v>110</v>
      </c>
      <c r="E251" s="58" t="s">
        <v>19</v>
      </c>
      <c r="F251" s="12">
        <v>46120</v>
      </c>
      <c r="G251" s="59">
        <v>4370070044</v>
      </c>
      <c r="H251" s="73" t="s">
        <v>425</v>
      </c>
      <c r="I251" s="129" t="s">
        <v>426</v>
      </c>
      <c r="J251" s="130" t="s">
        <v>46</v>
      </c>
      <c r="K251" s="130">
        <v>20</v>
      </c>
      <c r="L251" s="131"/>
      <c r="M251" s="179">
        <v>10200</v>
      </c>
      <c r="N251" s="180">
        <v>204000</v>
      </c>
      <c r="O251" s="134" t="s">
        <v>423</v>
      </c>
      <c r="P251" s="29" t="s">
        <v>416</v>
      </c>
      <c r="Q251" s="29"/>
      <c r="R251" s="29" t="s">
        <v>424</v>
      </c>
    </row>
    <row r="252" spans="1:18" ht="30" hidden="1" customHeight="1">
      <c r="A252" s="11">
        <v>250</v>
      </c>
      <c r="B252" s="57" t="s">
        <v>427</v>
      </c>
      <c r="C252" s="12" t="s">
        <v>428</v>
      </c>
      <c r="D252" s="58" t="s">
        <v>93</v>
      </c>
      <c r="E252" s="114" t="s">
        <v>19</v>
      </c>
      <c r="F252" s="26" t="s">
        <v>429</v>
      </c>
      <c r="G252" s="59">
        <v>4370070044</v>
      </c>
      <c r="H252" s="73" t="s">
        <v>134</v>
      </c>
      <c r="I252" s="129" t="s">
        <v>135</v>
      </c>
      <c r="J252" s="130" t="s">
        <v>46</v>
      </c>
      <c r="K252" s="130">
        <v>8</v>
      </c>
      <c r="L252" s="131"/>
      <c r="M252" s="179">
        <v>19500</v>
      </c>
      <c r="N252" s="180">
        <v>156000</v>
      </c>
      <c r="O252" s="134" t="s">
        <v>423</v>
      </c>
      <c r="P252" s="29" t="s">
        <v>416</v>
      </c>
      <c r="Q252" s="241" t="s">
        <v>430</v>
      </c>
      <c r="R252" s="29" t="s">
        <v>424</v>
      </c>
    </row>
    <row r="253" spans="1:18" ht="38.25" hidden="1">
      <c r="A253" s="11">
        <v>251</v>
      </c>
      <c r="B253" s="79" t="s">
        <v>19</v>
      </c>
      <c r="C253" s="215" t="s">
        <v>431</v>
      </c>
      <c r="D253" s="216" t="s">
        <v>432</v>
      </c>
      <c r="E253" s="58" t="s">
        <v>19</v>
      </c>
      <c r="F253" s="26" t="s">
        <v>433</v>
      </c>
      <c r="G253" s="59">
        <v>4370070044</v>
      </c>
      <c r="H253" s="73" t="s">
        <v>212</v>
      </c>
      <c r="I253" s="129" t="s">
        <v>434</v>
      </c>
      <c r="J253" s="130" t="s">
        <v>42</v>
      </c>
      <c r="K253" s="130">
        <v>40</v>
      </c>
      <c r="L253" s="131"/>
      <c r="M253" s="179">
        <v>350</v>
      </c>
      <c r="N253" s="180">
        <v>14000</v>
      </c>
      <c r="O253" s="134" t="s">
        <v>423</v>
      </c>
      <c r="P253" s="29" t="s">
        <v>416</v>
      </c>
      <c r="Q253" s="29"/>
      <c r="R253" s="29" t="s">
        <v>424</v>
      </c>
    </row>
    <row r="254" spans="1:18" ht="30" hidden="1" customHeight="1">
      <c r="A254" s="11">
        <v>252</v>
      </c>
      <c r="B254" s="57" t="s">
        <v>19</v>
      </c>
      <c r="C254" s="12">
        <v>46122</v>
      </c>
      <c r="D254" s="12" t="s">
        <v>93</v>
      </c>
      <c r="E254" s="58" t="s">
        <v>19</v>
      </c>
      <c r="F254" s="12">
        <v>46122</v>
      </c>
      <c r="G254" s="59">
        <v>4370070044</v>
      </c>
      <c r="H254" s="73" t="s">
        <v>131</v>
      </c>
      <c r="I254" s="129" t="s">
        <v>324</v>
      </c>
      <c r="J254" s="130" t="s">
        <v>66</v>
      </c>
      <c r="K254" s="130">
        <v>8</v>
      </c>
      <c r="L254" s="131"/>
      <c r="M254" s="179">
        <v>994</v>
      </c>
      <c r="N254" s="180">
        <v>7952</v>
      </c>
      <c r="O254" s="134" t="s">
        <v>423</v>
      </c>
      <c r="P254" s="29" t="s">
        <v>416</v>
      </c>
      <c r="Q254" s="29"/>
      <c r="R254" s="29" t="s">
        <v>424</v>
      </c>
    </row>
    <row r="255" spans="1:18" ht="30" hidden="1" customHeight="1">
      <c r="A255" s="11">
        <v>253</v>
      </c>
      <c r="B255" s="57" t="s">
        <v>19</v>
      </c>
      <c r="C255" s="12">
        <v>46121</v>
      </c>
      <c r="D255" s="58" t="s">
        <v>435</v>
      </c>
      <c r="E255" s="58" t="s">
        <v>19</v>
      </c>
      <c r="F255" s="12">
        <v>46121</v>
      </c>
      <c r="G255" s="59">
        <v>4370070044</v>
      </c>
      <c r="H255" s="20" t="s">
        <v>436</v>
      </c>
      <c r="I255" s="50" t="s">
        <v>437</v>
      </c>
      <c r="J255" s="22" t="s">
        <v>66</v>
      </c>
      <c r="K255" s="22">
        <v>20</v>
      </c>
      <c r="L255" s="234"/>
      <c r="M255" s="235">
        <v>200</v>
      </c>
      <c r="N255" s="236">
        <v>4000</v>
      </c>
      <c r="O255" s="237" t="s">
        <v>423</v>
      </c>
      <c r="P255" s="29" t="s">
        <v>416</v>
      </c>
      <c r="Q255" s="29"/>
      <c r="R255" s="29" t="s">
        <v>424</v>
      </c>
    </row>
    <row r="256" spans="1:18" ht="30" hidden="1" customHeight="1">
      <c r="A256" s="11">
        <v>254</v>
      </c>
      <c r="B256" s="79" t="s">
        <v>19</v>
      </c>
      <c r="C256" s="26" t="s">
        <v>438</v>
      </c>
      <c r="D256" s="58" t="s">
        <v>439</v>
      </c>
      <c r="E256" s="58" t="s">
        <v>19</v>
      </c>
      <c r="F256" s="26" t="s">
        <v>438</v>
      </c>
      <c r="G256" s="59">
        <v>4370070044</v>
      </c>
      <c r="H256" s="20" t="s">
        <v>337</v>
      </c>
      <c r="I256" s="50" t="s">
        <v>338</v>
      </c>
      <c r="J256" s="22" t="s">
        <v>66</v>
      </c>
      <c r="K256" s="22">
        <v>10</v>
      </c>
      <c r="L256" s="238"/>
      <c r="M256" s="239">
        <v>191</v>
      </c>
      <c r="N256" s="240">
        <v>1910</v>
      </c>
      <c r="O256" s="24" t="s">
        <v>423</v>
      </c>
      <c r="P256" s="29" t="s">
        <v>416</v>
      </c>
      <c r="Q256" s="29"/>
      <c r="R256" s="29" t="s">
        <v>424</v>
      </c>
    </row>
    <row r="257" spans="1:18" ht="30" hidden="1" customHeight="1">
      <c r="A257" s="11">
        <v>255</v>
      </c>
      <c r="B257" s="57" t="s">
        <v>19</v>
      </c>
      <c r="C257" s="12">
        <v>46127</v>
      </c>
      <c r="D257" s="58" t="s">
        <v>27</v>
      </c>
      <c r="E257" s="58" t="s">
        <v>19</v>
      </c>
      <c r="F257" s="12">
        <v>46125</v>
      </c>
      <c r="G257" s="59">
        <v>4370070044</v>
      </c>
      <c r="H257" s="73" t="s">
        <v>106</v>
      </c>
      <c r="I257" s="129"/>
      <c r="J257" s="130" t="s">
        <v>34</v>
      </c>
      <c r="K257" s="130">
        <v>4</v>
      </c>
      <c r="L257" s="131"/>
      <c r="M257" s="179">
        <v>450</v>
      </c>
      <c r="N257" s="180">
        <v>1800</v>
      </c>
      <c r="O257" s="134" t="s">
        <v>423</v>
      </c>
      <c r="P257" s="29" t="s">
        <v>416</v>
      </c>
      <c r="Q257" s="29"/>
      <c r="R257" s="29" t="s">
        <v>424</v>
      </c>
    </row>
    <row r="258" spans="1:18" ht="30" hidden="1" customHeight="1">
      <c r="A258" s="11">
        <v>256</v>
      </c>
      <c r="B258" s="57" t="s">
        <v>19</v>
      </c>
      <c r="C258" s="12">
        <v>46120</v>
      </c>
      <c r="D258" s="26" t="s">
        <v>110</v>
      </c>
      <c r="E258" s="58" t="s">
        <v>19</v>
      </c>
      <c r="F258" s="12">
        <v>46120</v>
      </c>
      <c r="G258" s="59">
        <v>4370070044</v>
      </c>
      <c r="H258" s="73" t="s">
        <v>218</v>
      </c>
      <c r="I258" s="129" t="s">
        <v>219</v>
      </c>
      <c r="J258" s="130" t="s">
        <v>143</v>
      </c>
      <c r="K258" s="130">
        <v>20</v>
      </c>
      <c r="L258" s="131"/>
      <c r="M258" s="179">
        <v>60</v>
      </c>
      <c r="N258" s="180">
        <v>1200</v>
      </c>
      <c r="O258" s="134" t="s">
        <v>423</v>
      </c>
      <c r="P258" s="29" t="s">
        <v>416</v>
      </c>
      <c r="Q258" s="29"/>
      <c r="R258" s="29" t="s">
        <v>424</v>
      </c>
    </row>
    <row r="259" spans="1:18" ht="30" hidden="1" customHeight="1">
      <c r="A259" s="11">
        <v>257</v>
      </c>
      <c r="B259" s="57" t="s">
        <v>19</v>
      </c>
      <c r="C259" s="12">
        <v>46127</v>
      </c>
      <c r="D259" s="58" t="s">
        <v>27</v>
      </c>
      <c r="E259" s="58" t="s">
        <v>19</v>
      </c>
      <c r="F259" s="12">
        <v>46126</v>
      </c>
      <c r="G259" s="59">
        <v>4370070044</v>
      </c>
      <c r="H259" s="73" t="s">
        <v>32</v>
      </c>
      <c r="I259" s="129" t="s">
        <v>173</v>
      </c>
      <c r="J259" s="130" t="s">
        <v>66</v>
      </c>
      <c r="K259" s="130">
        <v>20</v>
      </c>
      <c r="L259" s="131"/>
      <c r="M259" s="179">
        <v>55</v>
      </c>
      <c r="N259" s="180">
        <v>1100</v>
      </c>
      <c r="O259" s="134" t="s">
        <v>423</v>
      </c>
      <c r="P259" s="29" t="s">
        <v>416</v>
      </c>
      <c r="Q259" s="29"/>
      <c r="R259" s="29" t="s">
        <v>424</v>
      </c>
    </row>
    <row r="260" spans="1:18" ht="30" hidden="1" customHeight="1">
      <c r="A260" s="11">
        <v>258</v>
      </c>
      <c r="B260" s="57" t="s">
        <v>19</v>
      </c>
      <c r="C260" s="12">
        <v>46120</v>
      </c>
      <c r="D260" s="26" t="s">
        <v>110</v>
      </c>
      <c r="E260" s="58" t="s">
        <v>19</v>
      </c>
      <c r="F260" s="12">
        <v>46120</v>
      </c>
      <c r="G260" s="59">
        <v>4370070044</v>
      </c>
      <c r="H260" s="73" t="s">
        <v>218</v>
      </c>
      <c r="I260" s="153" t="s">
        <v>233</v>
      </c>
      <c r="J260" s="130" t="s">
        <v>440</v>
      </c>
      <c r="K260" s="130">
        <v>100</v>
      </c>
      <c r="L260" s="131"/>
      <c r="M260" s="179">
        <v>10</v>
      </c>
      <c r="N260" s="180">
        <v>1000</v>
      </c>
      <c r="O260" s="134" t="s">
        <v>423</v>
      </c>
      <c r="P260" s="29" t="s">
        <v>416</v>
      </c>
      <c r="Q260" s="29"/>
      <c r="R260" s="29" t="s">
        <v>424</v>
      </c>
    </row>
    <row r="261" spans="1:18" ht="30" hidden="1" customHeight="1">
      <c r="A261" s="11">
        <v>259</v>
      </c>
      <c r="B261" s="57" t="s">
        <v>19</v>
      </c>
      <c r="C261" s="12">
        <v>46120</v>
      </c>
      <c r="D261" s="26" t="s">
        <v>110</v>
      </c>
      <c r="E261" s="58" t="s">
        <v>19</v>
      </c>
      <c r="F261" s="12">
        <v>46120</v>
      </c>
      <c r="G261" s="59">
        <v>4370070044</v>
      </c>
      <c r="H261" s="73" t="s">
        <v>218</v>
      </c>
      <c r="I261" s="153" t="s">
        <v>234</v>
      </c>
      <c r="J261" s="130" t="s">
        <v>66</v>
      </c>
      <c r="K261" s="130">
        <v>100</v>
      </c>
      <c r="L261" s="131"/>
      <c r="M261" s="179">
        <v>10</v>
      </c>
      <c r="N261" s="180">
        <v>1000</v>
      </c>
      <c r="O261" s="134" t="s">
        <v>423</v>
      </c>
      <c r="P261" s="29" t="s">
        <v>416</v>
      </c>
      <c r="Q261" s="29"/>
      <c r="R261" s="29" t="s">
        <v>424</v>
      </c>
    </row>
    <row r="262" spans="1:18" ht="30" hidden="1" customHeight="1">
      <c r="A262" s="11">
        <v>260</v>
      </c>
      <c r="B262" s="57" t="s">
        <v>19</v>
      </c>
      <c r="C262" s="12">
        <v>46120</v>
      </c>
      <c r="D262" s="26" t="s">
        <v>110</v>
      </c>
      <c r="E262" s="58" t="s">
        <v>19</v>
      </c>
      <c r="F262" s="12">
        <v>46120</v>
      </c>
      <c r="G262" s="59">
        <v>4370070044</v>
      </c>
      <c r="H262" s="73" t="s">
        <v>218</v>
      </c>
      <c r="I262" s="153" t="s">
        <v>353</v>
      </c>
      <c r="J262" s="130" t="s">
        <v>143</v>
      </c>
      <c r="K262" s="130">
        <v>2</v>
      </c>
      <c r="L262" s="131"/>
      <c r="M262" s="179">
        <v>500</v>
      </c>
      <c r="N262" s="180">
        <v>1000</v>
      </c>
      <c r="O262" s="134" t="s">
        <v>423</v>
      </c>
      <c r="P262" s="29" t="s">
        <v>416</v>
      </c>
      <c r="Q262" s="29"/>
      <c r="R262" s="29" t="s">
        <v>424</v>
      </c>
    </row>
    <row r="263" spans="1:18" ht="30" hidden="1" customHeight="1">
      <c r="A263" s="11">
        <v>261</v>
      </c>
      <c r="B263" s="57" t="s">
        <v>19</v>
      </c>
      <c r="C263" s="12">
        <v>46127</v>
      </c>
      <c r="D263" s="58" t="s">
        <v>27</v>
      </c>
      <c r="E263" s="58" t="s">
        <v>19</v>
      </c>
      <c r="F263" s="12">
        <v>46126</v>
      </c>
      <c r="G263" s="59">
        <v>4370070044</v>
      </c>
      <c r="H263" s="73" t="s">
        <v>32</v>
      </c>
      <c r="I263" s="129" t="s">
        <v>171</v>
      </c>
      <c r="J263" s="130" t="s">
        <v>66</v>
      </c>
      <c r="K263" s="130">
        <v>15</v>
      </c>
      <c r="L263" s="131"/>
      <c r="M263" s="179">
        <v>55</v>
      </c>
      <c r="N263" s="180">
        <v>825</v>
      </c>
      <c r="O263" s="134" t="s">
        <v>423</v>
      </c>
      <c r="P263" s="29" t="s">
        <v>416</v>
      </c>
      <c r="Q263" s="29"/>
      <c r="R263" s="29" t="s">
        <v>424</v>
      </c>
    </row>
    <row r="264" spans="1:18" ht="30" hidden="1" customHeight="1">
      <c r="A264" s="11">
        <v>262</v>
      </c>
      <c r="B264" s="57" t="s">
        <v>19</v>
      </c>
      <c r="C264" s="12">
        <v>46113</v>
      </c>
      <c r="D264" s="58" t="s">
        <v>27</v>
      </c>
      <c r="E264" s="58" t="s">
        <v>19</v>
      </c>
      <c r="F264" s="212" t="s">
        <v>441</v>
      </c>
      <c r="G264" s="59">
        <v>4370069914</v>
      </c>
      <c r="H264" s="73" t="s">
        <v>394</v>
      </c>
      <c r="I264" s="129" t="s">
        <v>442</v>
      </c>
      <c r="J264" s="130" t="s">
        <v>66</v>
      </c>
      <c r="K264" s="130">
        <v>5</v>
      </c>
      <c r="L264" s="131"/>
      <c r="M264" s="179">
        <v>55</v>
      </c>
      <c r="N264" s="180">
        <v>275</v>
      </c>
      <c r="O264" s="134" t="s">
        <v>392</v>
      </c>
      <c r="P264" s="29" t="s">
        <v>443</v>
      </c>
      <c r="Q264" s="29"/>
      <c r="R264" s="29" t="s">
        <v>361</v>
      </c>
    </row>
    <row r="265" spans="1:18" ht="30" hidden="1" customHeight="1">
      <c r="A265" s="11">
        <v>263</v>
      </c>
      <c r="B265" s="57" t="s">
        <v>19</v>
      </c>
      <c r="C265" s="12">
        <v>46113</v>
      </c>
      <c r="D265" s="58" t="s">
        <v>27</v>
      </c>
      <c r="E265" s="58" t="s">
        <v>19</v>
      </c>
      <c r="F265" s="212" t="s">
        <v>441</v>
      </c>
      <c r="G265" s="59">
        <v>4370069914</v>
      </c>
      <c r="H265" s="73" t="s">
        <v>394</v>
      </c>
      <c r="I265" s="129" t="s">
        <v>444</v>
      </c>
      <c r="J265" s="130" t="s">
        <v>66</v>
      </c>
      <c r="K265" s="130">
        <v>5</v>
      </c>
      <c r="L265" s="131"/>
      <c r="M265" s="179">
        <v>55</v>
      </c>
      <c r="N265" s="180">
        <v>275</v>
      </c>
      <c r="O265" s="134" t="s">
        <v>392</v>
      </c>
      <c r="P265" s="29" t="s">
        <v>443</v>
      </c>
      <c r="Q265" s="29"/>
      <c r="R265" s="29" t="s">
        <v>361</v>
      </c>
    </row>
    <row r="266" spans="1:18" ht="30" hidden="1" customHeight="1">
      <c r="A266" s="11">
        <v>264</v>
      </c>
      <c r="B266" s="57"/>
      <c r="C266" s="12"/>
      <c r="D266" s="58" t="s">
        <v>144</v>
      </c>
      <c r="E266" s="114" t="s">
        <v>19</v>
      </c>
      <c r="F266" s="12" t="s">
        <v>383</v>
      </c>
      <c r="G266" s="59">
        <v>4370070011</v>
      </c>
      <c r="H266" s="73" t="s">
        <v>145</v>
      </c>
      <c r="I266" s="129" t="s">
        <v>277</v>
      </c>
      <c r="J266" s="130" t="s">
        <v>147</v>
      </c>
      <c r="K266" s="130">
        <v>4</v>
      </c>
      <c r="L266" s="131"/>
      <c r="M266" s="179">
        <v>2800</v>
      </c>
      <c r="N266" s="180">
        <v>11200</v>
      </c>
      <c r="O266" s="134" t="s">
        <v>373</v>
      </c>
      <c r="P266" s="29" t="s">
        <v>445</v>
      </c>
      <c r="Q266" s="29"/>
      <c r="R266" s="29" t="s">
        <v>361</v>
      </c>
    </row>
    <row r="267" spans="1:18" ht="30" hidden="1" customHeight="1">
      <c r="A267" s="11">
        <v>265</v>
      </c>
      <c r="B267" s="57" t="s">
        <v>19</v>
      </c>
      <c r="C267" s="12">
        <v>46121</v>
      </c>
      <c r="D267" s="58" t="s">
        <v>386</v>
      </c>
      <c r="E267" s="58" t="s">
        <v>19</v>
      </c>
      <c r="F267" s="12">
        <v>46120</v>
      </c>
      <c r="G267" s="59">
        <v>4370070011</v>
      </c>
      <c r="H267" s="73" t="s">
        <v>287</v>
      </c>
      <c r="I267" s="129" t="s">
        <v>288</v>
      </c>
      <c r="J267" s="130" t="s">
        <v>23</v>
      </c>
      <c r="K267" s="130">
        <v>20</v>
      </c>
      <c r="L267" s="131"/>
      <c r="M267" s="179">
        <v>500</v>
      </c>
      <c r="N267" s="180">
        <v>10000</v>
      </c>
      <c r="O267" s="134" t="s">
        <v>377</v>
      </c>
      <c r="P267" s="29" t="s">
        <v>445</v>
      </c>
      <c r="Q267" s="29"/>
      <c r="R267" s="29" t="s">
        <v>361</v>
      </c>
    </row>
    <row r="268" spans="1:18" ht="30" hidden="1" customHeight="1">
      <c r="A268" s="11">
        <v>266</v>
      </c>
      <c r="B268" s="57" t="s">
        <v>19</v>
      </c>
      <c r="C268" s="12">
        <v>46128</v>
      </c>
      <c r="D268" s="58" t="s">
        <v>152</v>
      </c>
      <c r="E268" s="58" t="s">
        <v>19</v>
      </c>
      <c r="F268" s="12" t="s">
        <v>419</v>
      </c>
      <c r="G268" s="59">
        <v>4370070011</v>
      </c>
      <c r="H268" s="73" t="s">
        <v>153</v>
      </c>
      <c r="I268" s="153" t="s">
        <v>446</v>
      </c>
      <c r="J268" s="130" t="s">
        <v>155</v>
      </c>
      <c r="K268" s="130">
        <v>20</v>
      </c>
      <c r="L268" s="131"/>
      <c r="M268" s="179">
        <v>300</v>
      </c>
      <c r="N268" s="180">
        <v>6000</v>
      </c>
      <c r="O268" s="134" t="s">
        <v>377</v>
      </c>
      <c r="P268" s="29" t="s">
        <v>445</v>
      </c>
      <c r="Q268" s="29"/>
      <c r="R268" s="29" t="s">
        <v>361</v>
      </c>
    </row>
    <row r="269" spans="1:18" ht="30" hidden="1" customHeight="1">
      <c r="A269" s="11">
        <v>267</v>
      </c>
      <c r="B269" s="57" t="s">
        <v>19</v>
      </c>
      <c r="C269" s="12">
        <v>46121</v>
      </c>
      <c r="D269" s="58" t="s">
        <v>386</v>
      </c>
      <c r="E269" s="58" t="s">
        <v>19</v>
      </c>
      <c r="F269" s="12">
        <v>46120</v>
      </c>
      <c r="G269" s="59">
        <v>4370070011</v>
      </c>
      <c r="H269" s="73" t="s">
        <v>287</v>
      </c>
      <c r="I269" s="129" t="s">
        <v>447</v>
      </c>
      <c r="J269" s="130" t="s">
        <v>23</v>
      </c>
      <c r="K269" s="130">
        <v>12</v>
      </c>
      <c r="L269" s="131"/>
      <c r="M269" s="179">
        <v>500</v>
      </c>
      <c r="N269" s="180">
        <v>6000</v>
      </c>
      <c r="O269" s="134" t="s">
        <v>377</v>
      </c>
      <c r="P269" s="29" t="s">
        <v>445</v>
      </c>
      <c r="Q269" s="29"/>
      <c r="R269" s="29" t="s">
        <v>361</v>
      </c>
    </row>
    <row r="270" spans="1:18" ht="30" hidden="1" customHeight="1">
      <c r="A270" s="11">
        <v>268</v>
      </c>
      <c r="B270" s="57" t="s">
        <v>19</v>
      </c>
      <c r="C270" s="12">
        <v>46133</v>
      </c>
      <c r="D270" s="58" t="s">
        <v>20</v>
      </c>
      <c r="E270" s="58" t="s">
        <v>19</v>
      </c>
      <c r="F270" s="12">
        <v>46133</v>
      </c>
      <c r="G270" s="59">
        <v>4370070011</v>
      </c>
      <c r="H270" s="73" t="s">
        <v>21</v>
      </c>
      <c r="I270" s="129" t="s">
        <v>22</v>
      </c>
      <c r="J270" s="130" t="s">
        <v>23</v>
      </c>
      <c r="K270" s="130">
        <v>30</v>
      </c>
      <c r="L270" s="131"/>
      <c r="M270" s="179">
        <v>193</v>
      </c>
      <c r="N270" s="180">
        <v>5790</v>
      </c>
      <c r="O270" s="134" t="s">
        <v>373</v>
      </c>
      <c r="P270" s="29" t="s">
        <v>445</v>
      </c>
      <c r="Q270" s="29"/>
      <c r="R270" s="29" t="s">
        <v>361</v>
      </c>
    </row>
    <row r="271" spans="1:18" ht="30" hidden="1" customHeight="1">
      <c r="A271" s="11">
        <v>269</v>
      </c>
      <c r="B271" s="57" t="s">
        <v>19</v>
      </c>
      <c r="C271" s="12">
        <v>46128</v>
      </c>
      <c r="D271" s="58" t="s">
        <v>386</v>
      </c>
      <c r="E271" s="58" t="s">
        <v>19</v>
      </c>
      <c r="F271" s="120">
        <v>46127</v>
      </c>
      <c r="G271" s="59">
        <v>4370070011</v>
      </c>
      <c r="H271" s="73" t="s">
        <v>448</v>
      </c>
      <c r="I271" s="129" t="s">
        <v>449</v>
      </c>
      <c r="J271" s="130" t="s">
        <v>23</v>
      </c>
      <c r="K271" s="130">
        <v>12</v>
      </c>
      <c r="L271" s="131"/>
      <c r="M271" s="179">
        <v>250</v>
      </c>
      <c r="N271" s="180">
        <v>3000</v>
      </c>
      <c r="O271" s="134" t="s">
        <v>450</v>
      </c>
      <c r="P271" s="29" t="s">
        <v>445</v>
      </c>
      <c r="Q271" s="29"/>
      <c r="R271" s="29" t="s">
        <v>361</v>
      </c>
    </row>
    <row r="272" spans="1:18" ht="30" hidden="1" customHeight="1">
      <c r="A272" s="11">
        <v>270</v>
      </c>
      <c r="B272" s="57" t="s">
        <v>19</v>
      </c>
      <c r="C272" s="12">
        <v>46136</v>
      </c>
      <c r="D272" s="58" t="s">
        <v>451</v>
      </c>
      <c r="E272" s="58" t="s">
        <v>19</v>
      </c>
      <c r="F272" s="12" t="s">
        <v>452</v>
      </c>
      <c r="G272" s="59">
        <v>4370070011</v>
      </c>
      <c r="H272" s="73" t="s">
        <v>453</v>
      </c>
      <c r="I272" s="129" t="s">
        <v>454</v>
      </c>
      <c r="J272" s="130" t="s">
        <v>167</v>
      </c>
      <c r="K272" s="130">
        <v>20</v>
      </c>
      <c r="L272" s="131"/>
      <c r="M272" s="179">
        <v>150</v>
      </c>
      <c r="N272" s="180">
        <v>3000</v>
      </c>
      <c r="O272" s="134" t="s">
        <v>377</v>
      </c>
      <c r="P272" s="29" t="s">
        <v>445</v>
      </c>
      <c r="Q272" s="29"/>
      <c r="R272" s="29" t="s">
        <v>361</v>
      </c>
    </row>
    <row r="273" spans="1:18" ht="30" hidden="1" customHeight="1">
      <c r="A273" s="11">
        <v>271</v>
      </c>
      <c r="B273" s="57" t="s">
        <v>19</v>
      </c>
      <c r="C273" s="12">
        <v>46136</v>
      </c>
      <c r="D273" s="58" t="s">
        <v>451</v>
      </c>
      <c r="E273" s="58" t="s">
        <v>19</v>
      </c>
      <c r="F273" s="12" t="s">
        <v>452</v>
      </c>
      <c r="G273" s="59">
        <v>4370070011</v>
      </c>
      <c r="H273" s="73" t="s">
        <v>453</v>
      </c>
      <c r="I273" s="129" t="s">
        <v>455</v>
      </c>
      <c r="J273" s="130" t="s">
        <v>167</v>
      </c>
      <c r="K273" s="130">
        <v>20</v>
      </c>
      <c r="L273" s="131"/>
      <c r="M273" s="179">
        <v>150</v>
      </c>
      <c r="N273" s="180">
        <v>3000</v>
      </c>
      <c r="O273" s="134" t="s">
        <v>377</v>
      </c>
      <c r="P273" s="29" t="s">
        <v>445</v>
      </c>
      <c r="Q273" s="29"/>
      <c r="R273" s="29" t="s">
        <v>361</v>
      </c>
    </row>
    <row r="274" spans="1:18" ht="30" hidden="1" customHeight="1">
      <c r="A274" s="11">
        <v>272</v>
      </c>
      <c r="B274" s="57" t="s">
        <v>19</v>
      </c>
      <c r="C274" s="12">
        <v>46136</v>
      </c>
      <c r="D274" s="58" t="s">
        <v>451</v>
      </c>
      <c r="E274" s="58" t="s">
        <v>19</v>
      </c>
      <c r="F274" s="12" t="s">
        <v>452</v>
      </c>
      <c r="G274" s="59">
        <v>4370070011</v>
      </c>
      <c r="H274" s="73" t="s">
        <v>453</v>
      </c>
      <c r="I274" s="129" t="s">
        <v>456</v>
      </c>
      <c r="J274" s="130" t="s">
        <v>167</v>
      </c>
      <c r="K274" s="130">
        <v>20</v>
      </c>
      <c r="L274" s="131"/>
      <c r="M274" s="179">
        <v>150</v>
      </c>
      <c r="N274" s="180">
        <v>3000</v>
      </c>
      <c r="O274" s="134" t="s">
        <v>377</v>
      </c>
      <c r="P274" s="29" t="s">
        <v>445</v>
      </c>
      <c r="Q274" s="29"/>
      <c r="R274" s="29" t="s">
        <v>361</v>
      </c>
    </row>
    <row r="275" spans="1:18" ht="30" hidden="1" customHeight="1">
      <c r="A275" s="11">
        <v>273</v>
      </c>
      <c r="B275" s="57" t="s">
        <v>19</v>
      </c>
      <c r="C275" s="12">
        <v>46136</v>
      </c>
      <c r="D275" s="58" t="s">
        <v>451</v>
      </c>
      <c r="E275" s="58" t="s">
        <v>19</v>
      </c>
      <c r="F275" s="12" t="s">
        <v>452</v>
      </c>
      <c r="G275" s="59">
        <v>4370070011</v>
      </c>
      <c r="H275" s="73" t="s">
        <v>453</v>
      </c>
      <c r="I275" s="129" t="s">
        <v>457</v>
      </c>
      <c r="J275" s="130" t="s">
        <v>167</v>
      </c>
      <c r="K275" s="130">
        <v>20</v>
      </c>
      <c r="L275" s="131"/>
      <c r="M275" s="179">
        <v>150</v>
      </c>
      <c r="N275" s="180">
        <v>3000</v>
      </c>
      <c r="O275" s="134" t="s">
        <v>377</v>
      </c>
      <c r="P275" s="29" t="s">
        <v>445</v>
      </c>
      <c r="Q275" s="29"/>
      <c r="R275" s="29" t="s">
        <v>361</v>
      </c>
    </row>
    <row r="276" spans="1:18" ht="30" hidden="1" customHeight="1">
      <c r="A276" s="11">
        <v>274</v>
      </c>
      <c r="B276" s="57" t="s">
        <v>19</v>
      </c>
      <c r="C276" s="12">
        <v>46114</v>
      </c>
      <c r="D276" s="58" t="s">
        <v>458</v>
      </c>
      <c r="E276" s="58" t="s">
        <v>19</v>
      </c>
      <c r="F276" s="212" t="s">
        <v>459</v>
      </c>
      <c r="G276" s="59">
        <v>4370070011</v>
      </c>
      <c r="H276" s="73" t="s">
        <v>460</v>
      </c>
      <c r="I276" s="129" t="s">
        <v>333</v>
      </c>
      <c r="J276" s="130" t="s">
        <v>167</v>
      </c>
      <c r="K276" s="130">
        <v>6</v>
      </c>
      <c r="L276" s="131"/>
      <c r="M276" s="179">
        <v>200</v>
      </c>
      <c r="N276" s="180">
        <v>1200</v>
      </c>
      <c r="O276" s="134" t="s">
        <v>461</v>
      </c>
      <c r="P276" s="29" t="s">
        <v>445</v>
      </c>
      <c r="Q276" s="29"/>
      <c r="R276" s="29" t="s">
        <v>361</v>
      </c>
    </row>
    <row r="277" spans="1:18" ht="30" hidden="1" customHeight="1">
      <c r="A277" s="11">
        <v>275</v>
      </c>
      <c r="B277" s="57" t="s">
        <v>19</v>
      </c>
      <c r="C277" s="58">
        <v>46126</v>
      </c>
      <c r="D277" s="58" t="s">
        <v>369</v>
      </c>
      <c r="E277" s="58" t="s">
        <v>19</v>
      </c>
      <c r="F277" s="120">
        <v>46125</v>
      </c>
      <c r="G277" s="59">
        <v>4370070011</v>
      </c>
      <c r="H277" s="73" t="s">
        <v>371</v>
      </c>
      <c r="I277" s="129"/>
      <c r="J277" s="130" t="s">
        <v>66</v>
      </c>
      <c r="K277" s="130">
        <v>10</v>
      </c>
      <c r="L277" s="131"/>
      <c r="M277" s="179">
        <v>50</v>
      </c>
      <c r="N277" s="180">
        <v>500</v>
      </c>
      <c r="O277" s="134" t="s">
        <v>377</v>
      </c>
      <c r="P277" s="29" t="s">
        <v>445</v>
      </c>
      <c r="Q277" s="29"/>
      <c r="R277" s="29" t="s">
        <v>361</v>
      </c>
    </row>
    <row r="278" spans="1:18" ht="30" hidden="1" customHeight="1">
      <c r="A278" s="243">
        <v>276</v>
      </c>
      <c r="B278" s="244" t="s">
        <v>462</v>
      </c>
      <c r="C278" s="245">
        <v>46136</v>
      </c>
      <c r="D278" s="246" t="s">
        <v>369</v>
      </c>
      <c r="E278" s="247" t="s">
        <v>19</v>
      </c>
      <c r="F278" s="245" t="s">
        <v>463</v>
      </c>
      <c r="G278" s="248">
        <v>4370070011</v>
      </c>
      <c r="H278" s="249" t="s">
        <v>464</v>
      </c>
      <c r="I278" s="264" t="s">
        <v>465</v>
      </c>
      <c r="J278" s="265" t="s">
        <v>46</v>
      </c>
      <c r="K278" s="265">
        <v>6</v>
      </c>
      <c r="L278" s="131"/>
      <c r="M278" s="179">
        <v>1000</v>
      </c>
      <c r="N278" s="180">
        <v>6000</v>
      </c>
      <c r="O278" s="134" t="s">
        <v>377</v>
      </c>
      <c r="P278" s="266" t="s">
        <v>445</v>
      </c>
      <c r="Q278" s="290" t="s">
        <v>466</v>
      </c>
      <c r="R278" s="266" t="s">
        <v>361</v>
      </c>
    </row>
    <row r="279" spans="1:18" ht="30" hidden="1" customHeight="1">
      <c r="A279" s="11">
        <v>277</v>
      </c>
      <c r="B279" s="57" t="s">
        <v>19</v>
      </c>
      <c r="C279" s="12">
        <v>46127</v>
      </c>
      <c r="D279" s="26" t="s">
        <v>110</v>
      </c>
      <c r="E279" s="58" t="s">
        <v>19</v>
      </c>
      <c r="F279" s="12">
        <v>46128</v>
      </c>
      <c r="G279" s="59">
        <v>4370070168</v>
      </c>
      <c r="H279" s="73" t="s">
        <v>467</v>
      </c>
      <c r="I279" s="129" t="s">
        <v>468</v>
      </c>
      <c r="J279" s="130" t="s">
        <v>23</v>
      </c>
      <c r="K279" s="130">
        <v>3</v>
      </c>
      <c r="L279" s="131"/>
      <c r="M279" s="179"/>
      <c r="N279" s="180"/>
      <c r="O279" s="134"/>
      <c r="P279" s="29"/>
      <c r="Q279" s="27" t="s">
        <v>469</v>
      </c>
      <c r="R279" s="29" t="s">
        <v>361</v>
      </c>
    </row>
    <row r="280" spans="1:18" ht="30" hidden="1" customHeight="1">
      <c r="A280" s="11">
        <v>278</v>
      </c>
      <c r="B280" s="57" t="s">
        <v>19</v>
      </c>
      <c r="C280" s="12">
        <v>46163</v>
      </c>
      <c r="D280" s="58" t="s">
        <v>369</v>
      </c>
      <c r="E280" s="114" t="s">
        <v>19</v>
      </c>
      <c r="F280" s="12">
        <v>46162</v>
      </c>
      <c r="G280" s="59">
        <v>4370070168</v>
      </c>
      <c r="H280" s="73" t="s">
        <v>470</v>
      </c>
      <c r="I280" s="129" t="s">
        <v>471</v>
      </c>
      <c r="J280" s="130" t="s">
        <v>23</v>
      </c>
      <c r="K280" s="130">
        <v>5</v>
      </c>
      <c r="L280" s="131"/>
      <c r="M280" s="179"/>
      <c r="N280" s="180"/>
      <c r="O280" s="134"/>
      <c r="P280" s="29"/>
      <c r="Q280" s="29"/>
      <c r="R280" s="29" t="s">
        <v>361</v>
      </c>
    </row>
    <row r="281" spans="1:18" ht="30" hidden="1" customHeight="1">
      <c r="A281" s="11">
        <v>279</v>
      </c>
      <c r="B281" s="57" t="s">
        <v>19</v>
      </c>
      <c r="C281" s="12">
        <v>46132</v>
      </c>
      <c r="D281" s="58" t="s">
        <v>27</v>
      </c>
      <c r="E281" s="58" t="s">
        <v>19</v>
      </c>
      <c r="F281" s="12">
        <v>46132</v>
      </c>
      <c r="G281" s="59">
        <v>4370070168</v>
      </c>
      <c r="H281" s="73" t="s">
        <v>472</v>
      </c>
      <c r="I281" s="129"/>
      <c r="J281" s="130" t="s">
        <v>66</v>
      </c>
      <c r="K281" s="130">
        <v>120</v>
      </c>
      <c r="L281" s="131"/>
      <c r="M281" s="179"/>
      <c r="N281" s="180"/>
      <c r="O281" s="134"/>
      <c r="P281" s="29"/>
      <c r="Q281" s="29"/>
      <c r="R281" s="29" t="s">
        <v>361</v>
      </c>
    </row>
    <row r="282" spans="1:18" ht="30" hidden="1" customHeight="1">
      <c r="A282" s="11">
        <v>280</v>
      </c>
      <c r="B282" s="57"/>
      <c r="C282" s="12"/>
      <c r="D282" s="58" t="s">
        <v>386</v>
      </c>
      <c r="E282" s="114"/>
      <c r="F282" s="12"/>
      <c r="G282" s="59"/>
      <c r="H282" s="73" t="s">
        <v>473</v>
      </c>
      <c r="I282" s="153" t="s">
        <v>474</v>
      </c>
      <c r="J282" s="130" t="s">
        <v>46</v>
      </c>
      <c r="K282" s="130">
        <v>3</v>
      </c>
      <c r="L282" s="131"/>
      <c r="M282" s="179"/>
      <c r="N282" s="180"/>
      <c r="O282" s="134"/>
      <c r="P282" s="29"/>
      <c r="Q282" s="29"/>
      <c r="R282" s="29" t="s">
        <v>361</v>
      </c>
    </row>
    <row r="283" spans="1:18" ht="30" hidden="1" customHeight="1">
      <c r="A283" s="11">
        <v>281</v>
      </c>
      <c r="B283" s="57"/>
      <c r="C283" s="26" t="s">
        <v>475</v>
      </c>
      <c r="D283" s="26" t="s">
        <v>110</v>
      </c>
      <c r="E283" s="114" t="s">
        <v>19</v>
      </c>
      <c r="F283" s="12">
        <v>46140</v>
      </c>
      <c r="G283" s="59">
        <v>4370070204</v>
      </c>
      <c r="H283" s="73" t="s">
        <v>218</v>
      </c>
      <c r="I283" s="73" t="s">
        <v>476</v>
      </c>
      <c r="J283" s="130" t="s">
        <v>66</v>
      </c>
      <c r="K283" s="130">
        <v>100</v>
      </c>
      <c r="L283" s="131"/>
      <c r="M283" s="179"/>
      <c r="N283" s="180"/>
      <c r="O283" s="134"/>
      <c r="P283" s="29"/>
      <c r="Q283" s="29"/>
      <c r="R283" s="29" t="s">
        <v>361</v>
      </c>
    </row>
    <row r="284" spans="1:18" ht="30" hidden="1" customHeight="1">
      <c r="A284" s="11">
        <v>282</v>
      </c>
      <c r="B284" s="57"/>
      <c r="C284" s="26" t="s">
        <v>475</v>
      </c>
      <c r="D284" s="26" t="s">
        <v>110</v>
      </c>
      <c r="E284" s="114" t="s">
        <v>19</v>
      </c>
      <c r="F284" s="12">
        <v>46140</v>
      </c>
      <c r="G284" s="59">
        <v>4370070204</v>
      </c>
      <c r="H284" s="73" t="s">
        <v>218</v>
      </c>
      <c r="I284" s="73" t="s">
        <v>219</v>
      </c>
      <c r="J284" s="130" t="s">
        <v>143</v>
      </c>
      <c r="K284" s="130">
        <v>20</v>
      </c>
      <c r="L284" s="131"/>
      <c r="M284" s="179"/>
      <c r="N284" s="180"/>
      <c r="O284" s="134"/>
      <c r="P284" s="29"/>
      <c r="Q284" s="29"/>
      <c r="R284" s="29" t="s">
        <v>361</v>
      </c>
    </row>
    <row r="285" spans="1:18" ht="30" hidden="1" customHeight="1">
      <c r="A285" s="11">
        <v>283</v>
      </c>
      <c r="B285" s="57"/>
      <c r="C285" s="12"/>
      <c r="D285" s="12" t="s">
        <v>93</v>
      </c>
      <c r="E285" s="114">
        <v>46147</v>
      </c>
      <c r="F285" s="12" t="s">
        <v>477</v>
      </c>
      <c r="G285" s="59">
        <v>4370070208</v>
      </c>
      <c r="H285" s="73" t="s">
        <v>478</v>
      </c>
      <c r="I285" s="73" t="s">
        <v>135</v>
      </c>
      <c r="J285" s="130" t="s">
        <v>46</v>
      </c>
      <c r="K285" s="130">
        <v>1</v>
      </c>
      <c r="L285" s="131"/>
      <c r="M285" s="179"/>
      <c r="N285" s="180"/>
      <c r="O285" s="134"/>
      <c r="P285" s="29" t="s">
        <v>479</v>
      </c>
      <c r="Q285" s="29"/>
      <c r="R285" s="29" t="s">
        <v>361</v>
      </c>
    </row>
    <row r="286" spans="1:18" ht="30" hidden="1" customHeight="1">
      <c r="A286" s="11">
        <v>284</v>
      </c>
      <c r="B286" s="57"/>
      <c r="C286" s="12"/>
      <c r="D286" s="58" t="s">
        <v>61</v>
      </c>
      <c r="E286" s="114"/>
      <c r="F286" s="12"/>
      <c r="G286" s="59">
        <v>4370070208</v>
      </c>
      <c r="H286" s="73" t="s">
        <v>125</v>
      </c>
      <c r="I286" s="129" t="s">
        <v>318</v>
      </c>
      <c r="J286" s="130" t="s">
        <v>23</v>
      </c>
      <c r="K286" s="130">
        <v>50</v>
      </c>
      <c r="L286" s="131"/>
      <c r="M286" s="179"/>
      <c r="N286" s="180"/>
      <c r="O286" s="134"/>
      <c r="P286" s="29" t="s">
        <v>479</v>
      </c>
      <c r="Q286" s="29"/>
      <c r="R286" s="29" t="s">
        <v>361</v>
      </c>
    </row>
    <row r="287" spans="1:18" ht="30" hidden="1" customHeight="1">
      <c r="A287" s="250">
        <v>285</v>
      </c>
      <c r="B287" s="40"/>
      <c r="C287" s="12" t="s">
        <v>480</v>
      </c>
      <c r="D287" s="26" t="s">
        <v>27</v>
      </c>
      <c r="E287" s="114">
        <v>46176</v>
      </c>
      <c r="F287" s="26" t="s">
        <v>481</v>
      </c>
      <c r="G287" s="59"/>
      <c r="H287" s="73" t="s">
        <v>482</v>
      </c>
      <c r="I287" s="73" t="s">
        <v>483</v>
      </c>
      <c r="J287" s="130" t="s">
        <v>128</v>
      </c>
      <c r="K287" s="130">
        <v>600</v>
      </c>
      <c r="L287" s="131">
        <v>7.65</v>
      </c>
      <c r="M287" s="267" t="s">
        <v>484</v>
      </c>
      <c r="N287" s="180"/>
      <c r="O287" s="134"/>
      <c r="P287" s="29" t="s">
        <v>479</v>
      </c>
      <c r="Q287" s="29" t="s">
        <v>485</v>
      </c>
      <c r="R287" s="29" t="s">
        <v>361</v>
      </c>
    </row>
    <row r="288" spans="1:18" ht="30" hidden="1" customHeight="1">
      <c r="A288" s="11">
        <v>286</v>
      </c>
      <c r="B288" s="57" t="s">
        <v>19</v>
      </c>
      <c r="C288" s="12">
        <v>46150</v>
      </c>
      <c r="D288" s="26" t="s">
        <v>486</v>
      </c>
      <c r="E288" s="114">
        <v>46148</v>
      </c>
      <c r="F288" s="12">
        <v>46150</v>
      </c>
      <c r="G288" s="59"/>
      <c r="H288" s="73" t="s">
        <v>28</v>
      </c>
      <c r="I288" s="73" t="s">
        <v>487</v>
      </c>
      <c r="J288" s="130" t="s">
        <v>167</v>
      </c>
      <c r="K288" s="130">
        <v>15</v>
      </c>
      <c r="L288" s="131"/>
      <c r="M288" s="179"/>
      <c r="N288" s="180"/>
      <c r="O288" s="134"/>
      <c r="P288" s="29" t="s">
        <v>479</v>
      </c>
      <c r="Q288" s="29"/>
      <c r="R288" s="29" t="s">
        <v>361</v>
      </c>
    </row>
    <row r="289" spans="1:18" ht="30" hidden="1" customHeight="1">
      <c r="A289" s="11">
        <v>287</v>
      </c>
      <c r="B289" s="57"/>
      <c r="C289" s="26" t="s">
        <v>488</v>
      </c>
      <c r="D289" s="12" t="s">
        <v>93</v>
      </c>
      <c r="E289" s="114">
        <v>46147</v>
      </c>
      <c r="F289" s="12">
        <v>46150</v>
      </c>
      <c r="G289" s="59">
        <v>4370070208</v>
      </c>
      <c r="H289" s="73" t="s">
        <v>131</v>
      </c>
      <c r="I289" s="73" t="s">
        <v>324</v>
      </c>
      <c r="J289" s="130" t="s">
        <v>66</v>
      </c>
      <c r="K289" s="130">
        <v>8</v>
      </c>
      <c r="L289" s="131"/>
      <c r="M289" s="179"/>
      <c r="N289" s="180"/>
      <c r="O289" s="134"/>
      <c r="P289" s="29" t="s">
        <v>479</v>
      </c>
      <c r="Q289" s="29"/>
      <c r="R289" s="29" t="s">
        <v>361</v>
      </c>
    </row>
    <row r="290" spans="1:18" ht="30" hidden="1" customHeight="1">
      <c r="A290" s="11">
        <v>288</v>
      </c>
      <c r="B290" s="57"/>
      <c r="C290" s="26" t="s">
        <v>488</v>
      </c>
      <c r="D290" s="12" t="s">
        <v>93</v>
      </c>
      <c r="E290" s="114">
        <v>46147</v>
      </c>
      <c r="F290" s="12">
        <v>46150</v>
      </c>
      <c r="G290" s="59">
        <v>4370070208</v>
      </c>
      <c r="H290" s="73" t="s">
        <v>126</v>
      </c>
      <c r="I290" s="73"/>
      <c r="J290" s="130" t="s">
        <v>42</v>
      </c>
      <c r="K290" s="130">
        <v>20</v>
      </c>
      <c r="L290" s="131"/>
      <c r="M290" s="179"/>
      <c r="N290" s="180"/>
      <c r="O290" s="134"/>
      <c r="P290" s="29" t="s">
        <v>479</v>
      </c>
      <c r="Q290" s="29"/>
      <c r="R290" s="29" t="s">
        <v>361</v>
      </c>
    </row>
    <row r="291" spans="1:18" ht="30" hidden="1" customHeight="1">
      <c r="A291" s="11">
        <v>289</v>
      </c>
      <c r="B291" s="57"/>
      <c r="C291" s="12"/>
      <c r="D291" s="26" t="s">
        <v>27</v>
      </c>
      <c r="E291" s="114" t="s">
        <v>292</v>
      </c>
      <c r="F291" s="12" t="s">
        <v>489</v>
      </c>
      <c r="G291" s="59">
        <v>4370070208</v>
      </c>
      <c r="H291" s="42" t="s">
        <v>32</v>
      </c>
      <c r="I291" s="268" t="s">
        <v>356</v>
      </c>
      <c r="J291" s="130" t="s">
        <v>66</v>
      </c>
      <c r="K291" s="130">
        <v>3</v>
      </c>
      <c r="L291" s="131"/>
      <c r="M291" s="179"/>
      <c r="N291" s="180"/>
      <c r="O291" s="134"/>
      <c r="P291" s="29" t="s">
        <v>479</v>
      </c>
      <c r="Q291" s="29"/>
      <c r="R291" s="29" t="s">
        <v>361</v>
      </c>
    </row>
    <row r="292" spans="1:18" ht="30" hidden="1" customHeight="1">
      <c r="A292" s="11">
        <v>290</v>
      </c>
      <c r="B292" s="57"/>
      <c r="C292" s="26" t="s">
        <v>490</v>
      </c>
      <c r="D292" s="26" t="s">
        <v>27</v>
      </c>
      <c r="E292" s="114">
        <v>46147</v>
      </c>
      <c r="F292" s="12">
        <v>46155</v>
      </c>
      <c r="G292" s="59">
        <v>4370070208</v>
      </c>
      <c r="H292" s="42" t="s">
        <v>32</v>
      </c>
      <c r="I292" s="268" t="s">
        <v>354</v>
      </c>
      <c r="J292" s="130" t="s">
        <v>66</v>
      </c>
      <c r="K292" s="130">
        <v>10</v>
      </c>
      <c r="L292" s="131"/>
      <c r="M292" s="179"/>
      <c r="N292" s="180"/>
      <c r="O292" s="134"/>
      <c r="P292" s="29" t="s">
        <v>479</v>
      </c>
      <c r="Q292" s="29"/>
      <c r="R292" s="29" t="s">
        <v>361</v>
      </c>
    </row>
    <row r="293" spans="1:18" ht="30" hidden="1" customHeight="1">
      <c r="A293" s="11">
        <v>291</v>
      </c>
      <c r="B293" s="57"/>
      <c r="C293" s="26" t="s">
        <v>490</v>
      </c>
      <c r="D293" s="26" t="s">
        <v>27</v>
      </c>
      <c r="E293" s="114">
        <v>46147</v>
      </c>
      <c r="F293" s="12">
        <v>46155</v>
      </c>
      <c r="G293" s="59">
        <v>4370070208</v>
      </c>
      <c r="H293" s="42" t="s">
        <v>32</v>
      </c>
      <c r="I293" s="268" t="s">
        <v>355</v>
      </c>
      <c r="J293" s="130" t="s">
        <v>66</v>
      </c>
      <c r="K293" s="130">
        <v>10</v>
      </c>
      <c r="L293" s="131"/>
      <c r="M293" s="179"/>
      <c r="N293" s="180"/>
      <c r="O293" s="134"/>
      <c r="P293" s="29" t="s">
        <v>479</v>
      </c>
      <c r="Q293" s="29"/>
      <c r="R293" s="29" t="s">
        <v>361</v>
      </c>
    </row>
    <row r="294" spans="1:18" ht="30" hidden="1" customHeight="1">
      <c r="A294" s="11">
        <v>292</v>
      </c>
      <c r="B294" s="57"/>
      <c r="C294" s="26" t="s">
        <v>490</v>
      </c>
      <c r="D294" s="26" t="s">
        <v>27</v>
      </c>
      <c r="E294" s="114">
        <v>46147</v>
      </c>
      <c r="F294" s="12">
        <v>46155</v>
      </c>
      <c r="G294" s="59">
        <v>4370070208</v>
      </c>
      <c r="H294" s="42" t="s">
        <v>32</v>
      </c>
      <c r="I294" s="268" t="s">
        <v>238</v>
      </c>
      <c r="J294" s="130" t="s">
        <v>66</v>
      </c>
      <c r="K294" s="130">
        <v>95</v>
      </c>
      <c r="L294" s="131"/>
      <c r="M294" s="179"/>
      <c r="N294" s="180"/>
      <c r="O294" s="134"/>
      <c r="P294" s="29" t="s">
        <v>479</v>
      </c>
      <c r="Q294" s="29"/>
      <c r="R294" s="29" t="s">
        <v>361</v>
      </c>
    </row>
    <row r="295" spans="1:18" ht="30" hidden="1" customHeight="1">
      <c r="A295" s="11">
        <v>293</v>
      </c>
      <c r="B295" s="57"/>
      <c r="C295" s="26" t="s">
        <v>490</v>
      </c>
      <c r="D295" s="26" t="s">
        <v>27</v>
      </c>
      <c r="E295" s="114">
        <v>46147</v>
      </c>
      <c r="F295" s="26" t="s">
        <v>491</v>
      </c>
      <c r="G295" s="59">
        <v>4370070208</v>
      </c>
      <c r="H295" s="42" t="s">
        <v>32</v>
      </c>
      <c r="I295" s="268" t="s">
        <v>173</v>
      </c>
      <c r="J295" s="130" t="s">
        <v>66</v>
      </c>
      <c r="K295" s="130">
        <v>43</v>
      </c>
      <c r="L295" s="131"/>
      <c r="M295" s="179"/>
      <c r="N295" s="180"/>
      <c r="O295" s="134"/>
      <c r="P295" s="29" t="s">
        <v>479</v>
      </c>
      <c r="Q295" s="29"/>
      <c r="R295" s="29" t="s">
        <v>361</v>
      </c>
    </row>
    <row r="296" spans="1:18" ht="30" hidden="1" customHeight="1">
      <c r="A296" s="11">
        <v>294</v>
      </c>
      <c r="B296" s="57"/>
      <c r="C296" s="81" t="s">
        <v>492</v>
      </c>
      <c r="D296" s="26" t="s">
        <v>27</v>
      </c>
      <c r="E296" s="114">
        <v>46147</v>
      </c>
      <c r="F296" s="12">
        <v>46155</v>
      </c>
      <c r="G296" s="59">
        <v>4370070208</v>
      </c>
      <c r="H296" s="73" t="s">
        <v>139</v>
      </c>
      <c r="I296" s="73"/>
      <c r="J296" s="130" t="s">
        <v>34</v>
      </c>
      <c r="K296" s="130">
        <v>50</v>
      </c>
      <c r="L296" s="131"/>
      <c r="M296" s="179"/>
      <c r="N296" s="180"/>
      <c r="O296" s="134"/>
      <c r="P296" s="29" t="s">
        <v>479</v>
      </c>
      <c r="Q296" s="29"/>
      <c r="R296" s="29" t="s">
        <v>361</v>
      </c>
    </row>
    <row r="297" spans="1:18" ht="30" hidden="1" customHeight="1">
      <c r="A297" s="11">
        <v>295</v>
      </c>
      <c r="B297" s="57"/>
      <c r="C297" s="26" t="s">
        <v>490</v>
      </c>
      <c r="D297" s="26" t="s">
        <v>27</v>
      </c>
      <c r="E297" s="114">
        <v>46147</v>
      </c>
      <c r="F297" s="12">
        <v>46155</v>
      </c>
      <c r="G297" s="59">
        <v>4370070208</v>
      </c>
      <c r="H297" s="73" t="s">
        <v>140</v>
      </c>
      <c r="I297" s="73"/>
      <c r="J297" s="130" t="s">
        <v>34</v>
      </c>
      <c r="K297" s="130">
        <v>50</v>
      </c>
      <c r="L297" s="131"/>
      <c r="M297" s="179"/>
      <c r="N297" s="180"/>
      <c r="O297" s="134"/>
      <c r="P297" s="29" t="s">
        <v>479</v>
      </c>
      <c r="Q297" s="29"/>
      <c r="R297" s="29" t="s">
        <v>361</v>
      </c>
    </row>
    <row r="298" spans="1:18" ht="30" hidden="1" customHeight="1">
      <c r="A298" s="11">
        <v>296</v>
      </c>
      <c r="B298" s="251"/>
      <c r="C298" s="26" t="s">
        <v>493</v>
      </c>
      <c r="D298" s="252" t="s">
        <v>494</v>
      </c>
      <c r="E298" s="253">
        <v>46149</v>
      </c>
      <c r="F298" s="254" t="s">
        <v>495</v>
      </c>
      <c r="G298" s="77">
        <v>4370070208</v>
      </c>
      <c r="H298" s="255" t="s">
        <v>496</v>
      </c>
      <c r="I298" s="269" t="s">
        <v>497</v>
      </c>
      <c r="J298" s="270" t="s">
        <v>66</v>
      </c>
      <c r="K298" s="270">
        <v>10</v>
      </c>
      <c r="L298" s="271"/>
      <c r="M298" s="272"/>
      <c r="N298" s="273"/>
      <c r="O298" s="274"/>
      <c r="P298" s="275" t="s">
        <v>479</v>
      </c>
      <c r="Q298" s="275"/>
      <c r="R298" s="275" t="s">
        <v>361</v>
      </c>
    </row>
    <row r="299" spans="1:18" ht="30" hidden="1" customHeight="1">
      <c r="A299" s="256">
        <v>297</v>
      </c>
      <c r="B299" s="257" t="s">
        <v>19</v>
      </c>
      <c r="C299" s="258">
        <v>46168</v>
      </c>
      <c r="D299" s="259" t="s">
        <v>27</v>
      </c>
      <c r="E299" s="260">
        <v>46162</v>
      </c>
      <c r="F299" s="258">
        <v>46178</v>
      </c>
      <c r="G299" s="261"/>
      <c r="H299" s="262" t="s">
        <v>498</v>
      </c>
      <c r="I299" s="276" t="s">
        <v>499</v>
      </c>
      <c r="J299" s="277" t="s">
        <v>115</v>
      </c>
      <c r="K299" s="277">
        <v>50</v>
      </c>
      <c r="L299" s="278"/>
      <c r="M299" s="279"/>
      <c r="N299" s="280"/>
      <c r="O299" s="281"/>
      <c r="P299" s="282"/>
      <c r="Q299" s="282"/>
      <c r="R299" s="282" t="s">
        <v>500</v>
      </c>
    </row>
    <row r="300" spans="1:18" ht="30" hidden="1" customHeight="1">
      <c r="A300" s="256">
        <v>298</v>
      </c>
      <c r="B300" s="257" t="s">
        <v>19</v>
      </c>
      <c r="C300" s="258">
        <v>46163</v>
      </c>
      <c r="D300" s="259" t="s">
        <v>116</v>
      </c>
      <c r="E300" s="260">
        <v>46161</v>
      </c>
      <c r="F300" s="258" t="s">
        <v>501</v>
      </c>
      <c r="G300" s="261"/>
      <c r="H300" s="262" t="s">
        <v>117</v>
      </c>
      <c r="I300" s="276" t="s">
        <v>502</v>
      </c>
      <c r="J300" s="277" t="s">
        <v>119</v>
      </c>
      <c r="K300" s="277">
        <v>50</v>
      </c>
      <c r="L300" s="283"/>
      <c r="M300" s="284"/>
      <c r="N300" s="285"/>
      <c r="O300" s="286"/>
      <c r="P300" s="282"/>
      <c r="Q300" s="282" t="s">
        <v>503</v>
      </c>
      <c r="R300" s="282" t="s">
        <v>500</v>
      </c>
    </row>
    <row r="301" spans="1:18" ht="30" hidden="1" customHeight="1">
      <c r="A301" s="256">
        <v>299</v>
      </c>
      <c r="B301" s="257" t="s">
        <v>19</v>
      </c>
      <c r="C301" s="258">
        <v>46168</v>
      </c>
      <c r="D301" s="259" t="s">
        <v>27</v>
      </c>
      <c r="E301" s="260">
        <v>46162</v>
      </c>
      <c r="F301" s="258">
        <v>46178</v>
      </c>
      <c r="G301" s="261"/>
      <c r="H301" s="262" t="s">
        <v>504</v>
      </c>
      <c r="I301" s="287" t="s">
        <v>505</v>
      </c>
      <c r="J301" s="277" t="s">
        <v>151</v>
      </c>
      <c r="K301" s="277">
        <v>50</v>
      </c>
      <c r="L301" s="283"/>
      <c r="M301" s="284"/>
      <c r="N301" s="285"/>
      <c r="O301" s="286"/>
      <c r="P301" s="282"/>
      <c r="Q301" s="282"/>
      <c r="R301" s="282" t="s">
        <v>500</v>
      </c>
    </row>
    <row r="302" spans="1:18" ht="30" hidden="1" customHeight="1">
      <c r="A302" s="11">
        <v>300</v>
      </c>
      <c r="B302" s="206"/>
      <c r="C302" s="207"/>
      <c r="D302" s="78" t="s">
        <v>27</v>
      </c>
      <c r="E302" s="263"/>
      <c r="F302" s="207"/>
      <c r="G302" s="82"/>
      <c r="H302" s="210" t="s">
        <v>49</v>
      </c>
      <c r="I302" s="288" t="s">
        <v>506</v>
      </c>
      <c r="J302" s="226" t="s">
        <v>66</v>
      </c>
      <c r="K302" s="226">
        <v>5</v>
      </c>
      <c r="L302" s="131"/>
      <c r="M302" s="179"/>
      <c r="N302" s="180"/>
      <c r="O302" s="134"/>
      <c r="P302" s="231" t="s">
        <v>507</v>
      </c>
      <c r="Q302" s="231"/>
      <c r="R302" s="231" t="s">
        <v>361</v>
      </c>
    </row>
    <row r="303" spans="1:18" ht="30" hidden="1" customHeight="1">
      <c r="A303" s="11">
        <v>301</v>
      </c>
      <c r="B303" s="57"/>
      <c r="C303" s="12"/>
      <c r="D303" s="58" t="s">
        <v>369</v>
      </c>
      <c r="E303" s="114"/>
      <c r="F303" s="12"/>
      <c r="G303" s="59"/>
      <c r="H303" s="73" t="s">
        <v>508</v>
      </c>
      <c r="I303" s="129"/>
      <c r="J303" s="130" t="s">
        <v>509</v>
      </c>
      <c r="K303" s="130">
        <v>10</v>
      </c>
      <c r="L303" s="131"/>
      <c r="M303" s="179"/>
      <c r="N303" s="180"/>
      <c r="O303" s="134"/>
      <c r="P303" s="29" t="s">
        <v>507</v>
      </c>
      <c r="Q303" s="29"/>
      <c r="R303" s="29" t="s">
        <v>361</v>
      </c>
    </row>
    <row r="304" spans="1:18" ht="30" hidden="1" customHeight="1">
      <c r="A304" s="250">
        <v>302</v>
      </c>
      <c r="B304" s="172" t="s">
        <v>510</v>
      </c>
      <c r="C304" s="12"/>
      <c r="D304" s="58" t="s">
        <v>511</v>
      </c>
      <c r="E304" s="114">
        <v>46176</v>
      </c>
      <c r="F304" s="120" t="s">
        <v>512</v>
      </c>
      <c r="G304" s="59"/>
      <c r="H304" s="73" t="s">
        <v>513</v>
      </c>
      <c r="I304" s="129" t="s">
        <v>514</v>
      </c>
      <c r="J304" s="130" t="s">
        <v>46</v>
      </c>
      <c r="K304" s="130">
        <v>25</v>
      </c>
      <c r="L304" s="131">
        <v>7650</v>
      </c>
      <c r="M304" s="179" t="s">
        <v>515</v>
      </c>
      <c r="N304" s="180"/>
      <c r="O304" s="134"/>
      <c r="P304" s="29" t="s">
        <v>507</v>
      </c>
      <c r="Q304" s="29"/>
      <c r="R304" s="29" t="s">
        <v>361</v>
      </c>
    </row>
    <row r="305" spans="1:18" ht="30" hidden="1" customHeight="1">
      <c r="A305" s="250">
        <v>303</v>
      </c>
      <c r="B305" s="40" t="s">
        <v>19</v>
      </c>
      <c r="C305" s="26" t="s">
        <v>516</v>
      </c>
      <c r="D305" s="58" t="s">
        <v>517</v>
      </c>
      <c r="E305" s="114">
        <v>46171</v>
      </c>
      <c r="F305" s="26" t="s">
        <v>518</v>
      </c>
      <c r="G305" s="59"/>
      <c r="H305" s="73" t="s">
        <v>519</v>
      </c>
      <c r="I305" s="129" t="s">
        <v>520</v>
      </c>
      <c r="J305" s="130" t="s">
        <v>34</v>
      </c>
      <c r="K305" s="130">
        <v>266</v>
      </c>
      <c r="L305" s="131">
        <v>230</v>
      </c>
      <c r="M305" s="179" t="s">
        <v>521</v>
      </c>
      <c r="N305" s="180"/>
      <c r="O305" s="134"/>
      <c r="P305" s="29" t="s">
        <v>507</v>
      </c>
      <c r="Q305" s="29"/>
      <c r="R305" s="29" t="s">
        <v>361</v>
      </c>
    </row>
    <row r="306" spans="1:18" ht="30" hidden="1" customHeight="1">
      <c r="A306" s="250">
        <v>304</v>
      </c>
      <c r="B306" s="40" t="s">
        <v>19</v>
      </c>
      <c r="C306" s="12">
        <v>46177</v>
      </c>
      <c r="D306" s="58" t="s">
        <v>522</v>
      </c>
      <c r="E306" s="114">
        <v>46171</v>
      </c>
      <c r="F306" s="12">
        <v>46177</v>
      </c>
      <c r="G306" s="59"/>
      <c r="H306" s="73" t="s">
        <v>523</v>
      </c>
      <c r="I306" s="129" t="s">
        <v>524</v>
      </c>
      <c r="J306" s="130" t="s">
        <v>155</v>
      </c>
      <c r="K306" s="130">
        <v>150</v>
      </c>
      <c r="L306" s="131">
        <v>75</v>
      </c>
      <c r="M306" s="179" t="s">
        <v>525</v>
      </c>
      <c r="N306" s="180"/>
      <c r="O306" s="134"/>
      <c r="P306" s="29" t="s">
        <v>507</v>
      </c>
      <c r="Q306" s="29" t="s">
        <v>526</v>
      </c>
      <c r="R306" s="29" t="s">
        <v>361</v>
      </c>
    </row>
    <row r="307" spans="1:18" ht="30" hidden="1" customHeight="1">
      <c r="A307" s="11">
        <v>305</v>
      </c>
      <c r="B307" s="57"/>
      <c r="C307" s="12"/>
      <c r="D307" s="58" t="s">
        <v>369</v>
      </c>
      <c r="E307" s="114"/>
      <c r="F307" s="12"/>
      <c r="G307" s="59"/>
      <c r="H307" s="73" t="s">
        <v>527</v>
      </c>
      <c r="I307" s="129" t="s">
        <v>528</v>
      </c>
      <c r="J307" s="130" t="s">
        <v>66</v>
      </c>
      <c r="K307" s="130">
        <v>15</v>
      </c>
      <c r="L307" s="131"/>
      <c r="M307" s="179"/>
      <c r="N307" s="180"/>
      <c r="O307" s="134"/>
      <c r="P307" s="29" t="s">
        <v>507</v>
      </c>
      <c r="Q307" s="29"/>
      <c r="R307" s="29" t="s">
        <v>361</v>
      </c>
    </row>
    <row r="308" spans="1:18" ht="30" hidden="1" customHeight="1">
      <c r="A308" s="11">
        <v>306</v>
      </c>
      <c r="B308" s="57"/>
      <c r="C308" s="12"/>
      <c r="D308" s="58" t="s">
        <v>369</v>
      </c>
      <c r="E308" s="114"/>
      <c r="F308" s="12"/>
      <c r="G308" s="59"/>
      <c r="H308" s="73" t="s">
        <v>529</v>
      </c>
      <c r="I308" s="129"/>
      <c r="J308" s="130" t="s">
        <v>119</v>
      </c>
      <c r="K308" s="130">
        <v>36</v>
      </c>
      <c r="L308" s="131"/>
      <c r="M308" s="179"/>
      <c r="N308" s="180"/>
      <c r="O308" s="134"/>
      <c r="P308" s="29" t="s">
        <v>507</v>
      </c>
      <c r="Q308" s="29"/>
      <c r="R308" s="29" t="s">
        <v>361</v>
      </c>
    </row>
    <row r="309" spans="1:18" ht="30" hidden="1" customHeight="1">
      <c r="A309" s="11">
        <v>307</v>
      </c>
      <c r="B309" s="57"/>
      <c r="C309" s="12"/>
      <c r="D309" s="58" t="s">
        <v>369</v>
      </c>
      <c r="E309" s="114"/>
      <c r="F309" s="12"/>
      <c r="G309" s="59"/>
      <c r="H309" s="73" t="s">
        <v>530</v>
      </c>
      <c r="I309" s="129"/>
      <c r="J309" s="130" t="s">
        <v>119</v>
      </c>
      <c r="K309" s="130">
        <v>36</v>
      </c>
      <c r="L309" s="131"/>
      <c r="M309" s="179"/>
      <c r="N309" s="180"/>
      <c r="O309" s="134"/>
      <c r="P309" s="29" t="s">
        <v>507</v>
      </c>
      <c r="Q309" s="29"/>
      <c r="R309" s="29" t="s">
        <v>361</v>
      </c>
    </row>
    <row r="310" spans="1:18" ht="30" hidden="1" customHeight="1">
      <c r="A310" s="11">
        <v>308</v>
      </c>
      <c r="B310" s="57"/>
      <c r="C310" s="12"/>
      <c r="D310" s="58" t="s">
        <v>369</v>
      </c>
      <c r="E310" s="114"/>
      <c r="F310" s="12"/>
      <c r="G310" s="59"/>
      <c r="H310" s="73" t="s">
        <v>531</v>
      </c>
      <c r="I310" s="129"/>
      <c r="J310" s="130" t="s">
        <v>119</v>
      </c>
      <c r="K310" s="130">
        <v>36</v>
      </c>
      <c r="L310" s="131"/>
      <c r="M310" s="179"/>
      <c r="N310" s="180"/>
      <c r="O310" s="134"/>
      <c r="P310" s="29" t="s">
        <v>507</v>
      </c>
      <c r="Q310" s="29"/>
      <c r="R310" s="29" t="s">
        <v>361</v>
      </c>
    </row>
    <row r="311" spans="1:18" ht="30" hidden="1" customHeight="1">
      <c r="A311" s="11">
        <v>309</v>
      </c>
      <c r="B311" s="57"/>
      <c r="C311" s="12"/>
      <c r="D311" s="58" t="s">
        <v>369</v>
      </c>
      <c r="E311" s="114"/>
      <c r="F311" s="12"/>
      <c r="G311" s="59"/>
      <c r="H311" s="73" t="s">
        <v>532</v>
      </c>
      <c r="I311" s="129"/>
      <c r="J311" s="130" t="s">
        <v>34</v>
      </c>
      <c r="K311" s="130">
        <v>150</v>
      </c>
      <c r="L311" s="131"/>
      <c r="M311" s="179"/>
      <c r="N311" s="180"/>
      <c r="O311" s="134"/>
      <c r="P311" s="29" t="s">
        <v>507</v>
      </c>
      <c r="Q311" s="29"/>
      <c r="R311" s="29" t="s">
        <v>361</v>
      </c>
    </row>
    <row r="312" spans="1:18" ht="30" hidden="1" customHeight="1">
      <c r="A312" s="11">
        <v>310</v>
      </c>
      <c r="B312" s="57"/>
      <c r="C312" s="12"/>
      <c r="D312" s="58" t="s">
        <v>533</v>
      </c>
      <c r="E312" s="114"/>
      <c r="F312" s="12"/>
      <c r="G312" s="59"/>
      <c r="H312" s="73" t="s">
        <v>534</v>
      </c>
      <c r="I312" s="129"/>
      <c r="J312" s="130" t="s">
        <v>66</v>
      </c>
      <c r="K312" s="130">
        <v>2</v>
      </c>
      <c r="L312" s="131"/>
      <c r="M312" s="179"/>
      <c r="N312" s="180"/>
      <c r="O312" s="134"/>
      <c r="P312" s="29" t="s">
        <v>507</v>
      </c>
      <c r="Q312" s="29"/>
      <c r="R312" s="29" t="s">
        <v>361</v>
      </c>
    </row>
    <row r="313" spans="1:18" ht="30" hidden="1" customHeight="1">
      <c r="A313" s="11">
        <v>311</v>
      </c>
      <c r="B313" s="57"/>
      <c r="C313" s="12"/>
      <c r="D313" s="58" t="s">
        <v>369</v>
      </c>
      <c r="E313" s="114"/>
      <c r="F313" s="12"/>
      <c r="G313" s="59"/>
      <c r="H313" s="73" t="s">
        <v>535</v>
      </c>
      <c r="I313" s="129" t="s">
        <v>536</v>
      </c>
      <c r="J313" s="130" t="s">
        <v>66</v>
      </c>
      <c r="K313" s="130">
        <v>2</v>
      </c>
      <c r="L313" s="131"/>
      <c r="M313" s="179"/>
      <c r="N313" s="180"/>
      <c r="O313" s="134"/>
      <c r="P313" s="29" t="s">
        <v>507</v>
      </c>
      <c r="Q313" s="29"/>
      <c r="R313" s="29" t="s">
        <v>361</v>
      </c>
    </row>
    <row r="314" spans="1:18" ht="30" hidden="1" customHeight="1">
      <c r="A314" s="11">
        <v>312</v>
      </c>
      <c r="B314" s="57"/>
      <c r="C314" s="12"/>
      <c r="D314" s="26" t="s">
        <v>486</v>
      </c>
      <c r="E314" s="114"/>
      <c r="F314" s="12"/>
      <c r="G314" s="59"/>
      <c r="H314" s="73" t="s">
        <v>28</v>
      </c>
      <c r="I314" s="129" t="s">
        <v>487</v>
      </c>
      <c r="J314" s="130" t="s">
        <v>167</v>
      </c>
      <c r="K314" s="130">
        <v>8</v>
      </c>
      <c r="L314" s="131"/>
      <c r="M314" s="179"/>
      <c r="N314" s="180"/>
      <c r="O314" s="134"/>
      <c r="P314" s="29" t="s">
        <v>507</v>
      </c>
      <c r="Q314" s="29"/>
      <c r="R314" s="29" t="s">
        <v>361</v>
      </c>
    </row>
    <row r="315" spans="1:18" ht="30" hidden="1" customHeight="1">
      <c r="A315" s="11">
        <v>313</v>
      </c>
      <c r="B315" s="57"/>
      <c r="C315" s="12"/>
      <c r="D315" s="58" t="s">
        <v>369</v>
      </c>
      <c r="E315" s="114">
        <v>46178</v>
      </c>
      <c r="F315" s="12">
        <v>46188</v>
      </c>
      <c r="G315" s="59"/>
      <c r="H315" s="73" t="s">
        <v>537</v>
      </c>
      <c r="I315" s="129" t="s">
        <v>538</v>
      </c>
      <c r="J315" s="130" t="s">
        <v>34</v>
      </c>
      <c r="K315" s="130">
        <v>75</v>
      </c>
      <c r="L315" s="131"/>
      <c r="M315" s="179"/>
      <c r="N315" s="180"/>
      <c r="O315" s="134"/>
      <c r="P315" s="29" t="s">
        <v>507</v>
      </c>
      <c r="Q315" s="29"/>
      <c r="R315" s="29" t="s">
        <v>361</v>
      </c>
    </row>
    <row r="316" spans="1:18" ht="30" hidden="1" customHeight="1">
      <c r="A316" s="11">
        <v>314</v>
      </c>
      <c r="B316" s="57"/>
      <c r="C316" s="12"/>
      <c r="D316" s="58" t="s">
        <v>369</v>
      </c>
      <c r="E316" s="114"/>
      <c r="F316" s="12"/>
      <c r="G316" s="59"/>
      <c r="H316" s="73" t="s">
        <v>539</v>
      </c>
      <c r="I316" s="129" t="s">
        <v>540</v>
      </c>
      <c r="J316" s="130" t="s">
        <v>66</v>
      </c>
      <c r="K316" s="130">
        <v>10</v>
      </c>
      <c r="L316" s="131"/>
      <c r="M316" s="179"/>
      <c r="N316" s="180"/>
      <c r="O316" s="134"/>
      <c r="P316" s="29" t="s">
        <v>507</v>
      </c>
      <c r="Q316" s="29"/>
      <c r="R316" s="29" t="s">
        <v>361</v>
      </c>
    </row>
    <row r="317" spans="1:18" ht="30" hidden="1" customHeight="1">
      <c r="A317" s="11">
        <v>315</v>
      </c>
      <c r="B317" s="57"/>
      <c r="C317" s="12"/>
      <c r="D317" s="58" t="s">
        <v>369</v>
      </c>
      <c r="E317" s="58"/>
      <c r="F317" s="12"/>
      <c r="G317" s="59"/>
      <c r="H317" s="73" t="s">
        <v>541</v>
      </c>
      <c r="I317" s="129" t="s">
        <v>542</v>
      </c>
      <c r="J317" s="130" t="s">
        <v>66</v>
      </c>
      <c r="K317" s="130">
        <v>15</v>
      </c>
      <c r="L317" s="131"/>
      <c r="M317" s="179"/>
      <c r="N317" s="180"/>
      <c r="O317" s="134"/>
      <c r="P317" s="29" t="s">
        <v>507</v>
      </c>
      <c r="Q317" s="29"/>
      <c r="R317" s="29" t="s">
        <v>361</v>
      </c>
    </row>
    <row r="318" spans="1:18" ht="30" hidden="1" customHeight="1">
      <c r="A318" s="11">
        <v>316</v>
      </c>
      <c r="B318" s="57"/>
      <c r="C318" s="12"/>
      <c r="D318" s="58" t="s">
        <v>543</v>
      </c>
      <c r="E318" s="114"/>
      <c r="F318" s="12"/>
      <c r="G318" s="59"/>
      <c r="H318" s="73" t="s">
        <v>544</v>
      </c>
      <c r="I318" s="129" t="s">
        <v>545</v>
      </c>
      <c r="J318" s="130" t="s">
        <v>34</v>
      </c>
      <c r="K318" s="130">
        <v>300</v>
      </c>
      <c r="L318" s="131"/>
      <c r="M318" s="179"/>
      <c r="N318" s="180"/>
      <c r="O318" s="134"/>
      <c r="P318" s="29" t="s">
        <v>507</v>
      </c>
      <c r="Q318" s="29"/>
      <c r="R318" s="29" t="s">
        <v>361</v>
      </c>
    </row>
    <row r="319" spans="1:18" ht="30" hidden="1" customHeight="1">
      <c r="A319" s="250">
        <v>317</v>
      </c>
      <c r="B319" s="172" t="s">
        <v>510</v>
      </c>
      <c r="C319" s="12"/>
      <c r="D319" s="58" t="s">
        <v>27</v>
      </c>
      <c r="E319" s="114">
        <v>46176</v>
      </c>
      <c r="F319" s="12">
        <v>46186</v>
      </c>
      <c r="G319" s="59"/>
      <c r="H319" s="73" t="s">
        <v>546</v>
      </c>
      <c r="I319" s="129" t="s">
        <v>547</v>
      </c>
      <c r="J319" s="130" t="s">
        <v>34</v>
      </c>
      <c r="K319" s="130">
        <v>200</v>
      </c>
      <c r="L319" s="131">
        <v>32</v>
      </c>
      <c r="M319" s="289" t="s">
        <v>548</v>
      </c>
      <c r="N319" s="180"/>
      <c r="O319" s="134"/>
      <c r="P319" s="29" t="s">
        <v>507</v>
      </c>
      <c r="Q319" s="29"/>
      <c r="R319" s="29" t="s">
        <v>361</v>
      </c>
    </row>
    <row r="320" spans="1:18" ht="30" hidden="1" customHeight="1">
      <c r="A320" s="250">
        <v>318</v>
      </c>
      <c r="B320" s="172" t="s">
        <v>510</v>
      </c>
      <c r="C320" s="12"/>
      <c r="D320" s="58" t="s">
        <v>27</v>
      </c>
      <c r="E320" s="114">
        <v>46176</v>
      </c>
      <c r="F320" s="12">
        <v>46186</v>
      </c>
      <c r="G320" s="59"/>
      <c r="H320" s="73" t="s">
        <v>546</v>
      </c>
      <c r="I320" s="129" t="s">
        <v>549</v>
      </c>
      <c r="J320" s="130" t="s">
        <v>34</v>
      </c>
      <c r="K320" s="130">
        <v>50</v>
      </c>
      <c r="L320" s="131">
        <v>62</v>
      </c>
      <c r="M320" s="289" t="s">
        <v>550</v>
      </c>
      <c r="N320" s="180"/>
      <c r="O320" s="134"/>
      <c r="P320" s="29" t="s">
        <v>507</v>
      </c>
      <c r="Q320" s="29"/>
      <c r="R320" s="29" t="s">
        <v>361</v>
      </c>
    </row>
    <row r="321" spans="1:18" ht="30" hidden="1" customHeight="1">
      <c r="A321" s="250">
        <v>319</v>
      </c>
      <c r="B321" s="172" t="s">
        <v>510</v>
      </c>
      <c r="C321" s="12"/>
      <c r="D321" s="58" t="s">
        <v>27</v>
      </c>
      <c r="E321" s="114">
        <v>46171</v>
      </c>
      <c r="F321" s="12">
        <v>46181</v>
      </c>
      <c r="G321" s="59"/>
      <c r="H321" s="73" t="s">
        <v>551</v>
      </c>
      <c r="I321" s="129"/>
      <c r="J321" s="130" t="s">
        <v>34</v>
      </c>
      <c r="K321" s="130">
        <v>200</v>
      </c>
      <c r="L321" s="131">
        <v>22</v>
      </c>
      <c r="M321" s="289" t="s">
        <v>552</v>
      </c>
      <c r="N321" s="180"/>
      <c r="O321" s="134"/>
      <c r="P321" s="29" t="s">
        <v>507</v>
      </c>
      <c r="Q321" s="29" t="s">
        <v>553</v>
      </c>
      <c r="R321" s="29" t="s">
        <v>361</v>
      </c>
    </row>
    <row r="322" spans="1:18" ht="30" hidden="1" customHeight="1">
      <c r="A322" s="250">
        <v>320</v>
      </c>
      <c r="B322" s="172" t="s">
        <v>510</v>
      </c>
      <c r="C322" s="12"/>
      <c r="D322" s="58" t="s">
        <v>27</v>
      </c>
      <c r="E322" s="114">
        <v>46171</v>
      </c>
      <c r="F322" s="12">
        <v>46181</v>
      </c>
      <c r="G322" s="59"/>
      <c r="H322" s="73" t="s">
        <v>554</v>
      </c>
      <c r="I322" s="129"/>
      <c r="J322" s="130" t="s">
        <v>34</v>
      </c>
      <c r="K322" s="130">
        <v>50</v>
      </c>
      <c r="L322" s="131">
        <v>58</v>
      </c>
      <c r="M322" s="289" t="s">
        <v>555</v>
      </c>
      <c r="N322" s="180"/>
      <c r="O322" s="134"/>
      <c r="P322" s="29" t="s">
        <v>507</v>
      </c>
      <c r="Q322" s="29" t="s">
        <v>553</v>
      </c>
      <c r="R322" s="29" t="s">
        <v>361</v>
      </c>
    </row>
    <row r="323" spans="1:18" ht="30" hidden="1" customHeight="1">
      <c r="A323" s="11">
        <v>321</v>
      </c>
      <c r="B323" s="57"/>
      <c r="C323" s="12"/>
      <c r="D323" s="58" t="s">
        <v>386</v>
      </c>
      <c r="E323" s="114"/>
      <c r="F323" s="12"/>
      <c r="G323" s="59"/>
      <c r="H323" s="73" t="s">
        <v>473</v>
      </c>
      <c r="I323" s="153" t="s">
        <v>474</v>
      </c>
      <c r="J323" s="130" t="s">
        <v>46</v>
      </c>
      <c r="K323" s="130">
        <v>1</v>
      </c>
      <c r="L323" s="131"/>
      <c r="M323" s="179"/>
      <c r="N323" s="180"/>
      <c r="O323" s="134"/>
      <c r="P323" s="29" t="s">
        <v>507</v>
      </c>
      <c r="Q323" s="29"/>
      <c r="R323" s="29" t="s">
        <v>361</v>
      </c>
    </row>
    <row r="324" spans="1:18" customFormat="1" ht="30" customHeight="1">
      <c r="A324" s="11"/>
      <c r="B324" s="57"/>
      <c r="C324" s="12"/>
      <c r="D324" s="58"/>
      <c r="E324" s="114"/>
      <c r="F324" s="12"/>
      <c r="G324" s="59"/>
      <c r="H324" s="73"/>
      <c r="I324" s="153"/>
      <c r="J324" s="130"/>
      <c r="K324" s="130"/>
      <c r="L324" s="131"/>
      <c r="M324" s="179"/>
      <c r="N324" s="180"/>
      <c r="O324" s="134"/>
      <c r="P324" s="29"/>
      <c r="Q324" s="29"/>
      <c r="R324" s="29"/>
    </row>
    <row r="325" spans="1:18" customFormat="1" ht="30" customHeight="1">
      <c r="A325" s="11"/>
      <c r="B325" s="57"/>
      <c r="C325" s="12"/>
      <c r="D325" s="58"/>
      <c r="E325" s="114"/>
      <c r="F325" s="12"/>
      <c r="G325" s="59"/>
      <c r="H325" s="73"/>
      <c r="I325" s="153"/>
      <c r="J325" s="130"/>
      <c r="K325" s="130"/>
      <c r="L325" s="131"/>
      <c r="M325" s="179"/>
      <c r="N325" s="180"/>
      <c r="O325" s="134"/>
      <c r="P325" s="29"/>
      <c r="Q325" s="29"/>
      <c r="R325" s="29"/>
    </row>
    <row r="326" spans="1:18" customFormat="1" ht="30" customHeight="1">
      <c r="A326" s="11"/>
      <c r="B326" s="57"/>
      <c r="C326" s="12"/>
      <c r="D326" s="58"/>
      <c r="E326" s="114"/>
      <c r="F326" s="12"/>
      <c r="G326" s="59"/>
      <c r="H326" s="73"/>
      <c r="I326" s="153"/>
      <c r="J326" s="130"/>
      <c r="K326" s="130"/>
      <c r="L326" s="131"/>
      <c r="M326" s="179"/>
      <c r="N326" s="180"/>
      <c r="O326" s="134"/>
      <c r="P326" s="29"/>
      <c r="Q326" s="29"/>
      <c r="R326" s="29"/>
    </row>
    <row r="327" spans="1:18" customFormat="1" ht="30" customHeight="1">
      <c r="A327" s="11"/>
      <c r="B327" s="57"/>
      <c r="C327" s="12"/>
      <c r="D327" s="58"/>
      <c r="E327" s="114"/>
      <c r="F327" s="12"/>
      <c r="G327" s="59"/>
      <c r="H327" s="73"/>
      <c r="I327" s="153"/>
      <c r="J327" s="130"/>
      <c r="K327" s="130"/>
      <c r="L327" s="131"/>
      <c r="M327" s="179"/>
      <c r="N327" s="180"/>
      <c r="O327" s="134"/>
      <c r="P327" s="29"/>
      <c r="Q327" s="29"/>
      <c r="R327" s="29"/>
    </row>
    <row r="328" spans="1:18" customFormat="1" ht="30" customHeight="1">
      <c r="A328" s="11"/>
      <c r="B328" s="57"/>
      <c r="C328" s="12"/>
      <c r="D328" s="58"/>
      <c r="E328" s="114"/>
      <c r="F328" s="12"/>
      <c r="G328" s="59"/>
      <c r="H328" s="73"/>
      <c r="I328" s="153"/>
      <c r="J328" s="130"/>
      <c r="K328" s="130"/>
      <c r="L328" s="131"/>
      <c r="M328" s="179"/>
      <c r="N328" s="180"/>
      <c r="O328" s="134"/>
      <c r="P328" s="29"/>
      <c r="Q328" s="29"/>
      <c r="R328" s="29"/>
    </row>
    <row r="329" spans="1:18" customFormat="1" ht="30" customHeight="1">
      <c r="A329" s="11"/>
      <c r="B329" s="57"/>
      <c r="C329" s="12"/>
      <c r="D329" s="58"/>
      <c r="E329" s="114"/>
      <c r="F329" s="12"/>
      <c r="G329" s="59"/>
      <c r="H329" s="73"/>
      <c r="I329" s="153"/>
      <c r="J329" s="130"/>
      <c r="K329" s="130"/>
      <c r="L329" s="131"/>
      <c r="M329" s="179"/>
      <c r="N329" s="180"/>
      <c r="O329" s="134"/>
      <c r="P329" s="29"/>
      <c r="Q329" s="29"/>
      <c r="R329" s="29"/>
    </row>
    <row r="330" spans="1:18" customFormat="1" ht="30" customHeight="1">
      <c r="A330" s="11"/>
      <c r="B330" s="57"/>
      <c r="C330" s="12"/>
      <c r="D330" s="58"/>
      <c r="E330" s="114"/>
      <c r="F330" s="12"/>
      <c r="G330" s="59"/>
      <c r="H330" s="73"/>
      <c r="I330" s="153"/>
      <c r="J330" s="130"/>
      <c r="K330" s="130"/>
      <c r="L330" s="131"/>
      <c r="M330" s="179"/>
      <c r="N330" s="180"/>
      <c r="O330" s="134"/>
      <c r="P330" s="29"/>
      <c r="Q330" s="29"/>
      <c r="R330" s="29"/>
    </row>
    <row r="331" spans="1:18" customFormat="1" ht="30" customHeight="1">
      <c r="A331" s="11"/>
      <c r="B331" s="57"/>
      <c r="C331" s="12"/>
      <c r="D331" s="58"/>
      <c r="E331" s="114"/>
      <c r="F331" s="12"/>
      <c r="G331" s="59"/>
      <c r="H331" s="73"/>
      <c r="I331" s="153"/>
      <c r="J331" s="130"/>
      <c r="K331" s="130"/>
      <c r="L331" s="131"/>
      <c r="M331" s="179"/>
      <c r="N331" s="180"/>
      <c r="O331" s="134"/>
      <c r="P331" s="29"/>
      <c r="Q331" s="29"/>
      <c r="R331" s="29"/>
    </row>
    <row r="332" spans="1:18" customFormat="1" ht="30" customHeight="1">
      <c r="A332" s="11"/>
      <c r="B332" s="57"/>
      <c r="C332" s="12"/>
      <c r="D332" s="58"/>
      <c r="E332" s="114"/>
      <c r="F332" s="12"/>
      <c r="G332" s="59"/>
      <c r="H332" s="73"/>
      <c r="I332" s="153"/>
      <c r="J332" s="130"/>
      <c r="K332" s="130"/>
      <c r="L332" s="131"/>
      <c r="M332" s="179"/>
      <c r="N332" s="180"/>
      <c r="O332" s="134"/>
      <c r="P332" s="29"/>
      <c r="Q332" s="29"/>
      <c r="R332" s="29"/>
    </row>
    <row r="333" spans="1:18" customFormat="1" ht="30" customHeight="1">
      <c r="A333" s="11"/>
      <c r="B333" s="57"/>
      <c r="C333" s="12"/>
      <c r="D333" s="58"/>
      <c r="E333" s="114"/>
      <c r="F333" s="12"/>
      <c r="G333" s="59"/>
      <c r="H333" s="73"/>
      <c r="I333" s="153"/>
      <c r="J333" s="130"/>
      <c r="K333" s="130"/>
      <c r="L333" s="131"/>
      <c r="M333" s="179"/>
      <c r="N333" s="180"/>
      <c r="O333" s="134"/>
      <c r="P333" s="29"/>
      <c r="Q333" s="29"/>
      <c r="R333" s="29"/>
    </row>
    <row r="334" spans="1:18" customFormat="1" ht="30" customHeight="1">
      <c r="A334" s="11"/>
      <c r="B334" s="57"/>
      <c r="C334" s="12"/>
      <c r="D334" s="58"/>
      <c r="E334" s="114"/>
      <c r="F334" s="12"/>
      <c r="G334" s="59"/>
      <c r="H334" s="73"/>
      <c r="I334" s="153"/>
      <c r="J334" s="130"/>
      <c r="K334" s="130"/>
      <c r="L334" s="131"/>
      <c r="M334" s="179"/>
      <c r="N334" s="180"/>
      <c r="O334" s="134"/>
      <c r="P334" s="29"/>
      <c r="Q334" s="29"/>
      <c r="R334" s="29"/>
    </row>
    <row r="335" spans="1:18" customFormat="1" ht="30" customHeight="1">
      <c r="A335" s="11"/>
      <c r="B335" s="57"/>
      <c r="C335" s="12"/>
      <c r="D335" s="58"/>
      <c r="E335" s="114"/>
      <c r="F335" s="12"/>
      <c r="G335" s="59"/>
      <c r="H335" s="73"/>
      <c r="I335" s="153"/>
      <c r="J335" s="130"/>
      <c r="K335" s="130"/>
      <c r="L335" s="131"/>
      <c r="M335" s="179"/>
      <c r="N335" s="180"/>
      <c r="O335" s="134"/>
      <c r="P335" s="29"/>
      <c r="Q335" s="29"/>
      <c r="R335" s="29"/>
    </row>
  </sheetData>
  <autoFilter ref="A2:Q323" xr:uid="{00000000-0009-0000-0000-000000000000}">
    <filterColumn colId="6">
      <filters>
        <filter val="4370069742"/>
        <filter val="4370069742-5"/>
      </filters>
    </filterColumn>
    <sortState xmlns:xlrd2="http://schemas.microsoft.com/office/spreadsheetml/2017/richdata2" ref="A2:Q323">
      <sortCondition ref="C2"/>
    </sortState>
  </autoFilter>
  <phoneticPr fontId="44" type="noConversion"/>
  <conditionalFormatting sqref="H141">
    <cfRule type="notContainsBlanks" dxfId="8" priority="4">
      <formula>LEN(TRIM(H141))&gt;0</formula>
    </cfRule>
  </conditionalFormatting>
  <conditionalFormatting sqref="H7:I11">
    <cfRule type="notContainsBlanks" dxfId="7" priority="9">
      <formula>LEN(TRIM(H7))&gt;0</formula>
    </cfRule>
  </conditionalFormatting>
  <conditionalFormatting sqref="H26:I30">
    <cfRule type="notContainsBlanks" dxfId="6" priority="11">
      <formula>LEN(TRIM(H26))&gt;0</formula>
    </cfRule>
  </conditionalFormatting>
  <conditionalFormatting sqref="H32:I32">
    <cfRule type="notContainsBlanks" dxfId="5" priority="8">
      <formula>LEN(TRIM(H32))&gt;0</formula>
    </cfRule>
  </conditionalFormatting>
  <conditionalFormatting sqref="H112:I112">
    <cfRule type="notContainsBlanks" dxfId="4" priority="7">
      <formula>LEN(TRIM(H112))&gt;0</formula>
    </cfRule>
  </conditionalFormatting>
  <conditionalFormatting sqref="H130:I130">
    <cfRule type="notContainsBlanks" dxfId="3" priority="6">
      <formula>LEN(TRIM(H130))&gt;0</formula>
    </cfRule>
  </conditionalFormatting>
  <conditionalFormatting sqref="H132:I133">
    <cfRule type="notContainsBlanks" dxfId="2" priority="5">
      <formula>LEN(TRIM(H132))&gt;0</formula>
    </cfRule>
  </conditionalFormatting>
  <conditionalFormatting sqref="H29:M29">
    <cfRule type="notContainsBlanks" dxfId="1" priority="1">
      <formula>LEN(TRIM(H29))&gt;0</formula>
    </cfRule>
  </conditionalFormatting>
  <conditionalFormatting sqref="I183">
    <cfRule type="notContainsBlanks" dxfId="0" priority="2">
      <formula>LEN(TRIM(I183))&gt;0</formula>
    </cfRule>
  </conditionalFormatting>
  <pageMargins left="0.69930555555555596" right="0.69930555555555596" top="0.75" bottom="0.75" header="0.3" footer="0.3"/>
  <pageSetup paperSize="9" scale="61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FB66"/>
  <sheetViews>
    <sheetView tabSelected="1" zoomScale="80" zoomScaleNormal="80" workbookViewId="0">
      <pane ySplit="2" topLeftCell="A3" activePane="bottomLeft" state="frozen"/>
      <selection pane="bottomLeft" activeCell="G47" sqref="G47:G54"/>
    </sheetView>
  </sheetViews>
  <sheetFormatPr defaultColWidth="9" defaultRowHeight="16.5"/>
  <cols>
    <col min="1" max="1" width="6.875" style="1" customWidth="1"/>
    <col min="2" max="2" width="6.875" style="2" customWidth="1"/>
    <col min="3" max="3" width="15.125" style="4" customWidth="1"/>
    <col min="4" max="4" width="12.875" style="4" customWidth="1"/>
    <col min="5" max="5" width="10.5" style="4" customWidth="1"/>
    <col min="6" max="6" width="18.375" style="4" customWidth="1"/>
    <col min="7" max="7" width="15.625" style="54" customWidth="1"/>
    <col min="8" max="8" width="32.5" style="5" customWidth="1"/>
    <col min="9" max="9" width="30" style="5" customWidth="1"/>
    <col min="10" max="10" width="4.875" style="1" customWidth="1"/>
    <col min="11" max="11" width="8.125" style="6" customWidth="1"/>
    <col min="12" max="12" width="29.375" style="1" customWidth="1"/>
    <col min="13" max="13" width="15.625" style="4" customWidth="1"/>
    <col min="14" max="14" width="17.75" style="1" customWidth="1"/>
    <col min="15" max="16382" width="9" style="1"/>
  </cols>
  <sheetData>
    <row r="1" spans="1:14" s="1" customFormat="1" ht="30" customHeight="1">
      <c r="A1" s="36" t="s">
        <v>556</v>
      </c>
      <c r="B1" s="2"/>
      <c r="C1" s="37"/>
      <c r="D1" s="37"/>
      <c r="E1" s="37"/>
      <c r="F1" s="37"/>
      <c r="G1" s="55"/>
      <c r="H1" s="5"/>
      <c r="I1" s="5"/>
      <c r="K1" s="6"/>
      <c r="M1" s="4"/>
    </row>
    <row r="2" spans="1:14" s="2" customFormat="1" ht="15.75">
      <c r="A2" s="7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56" t="s">
        <v>7</v>
      </c>
      <c r="H2" s="9" t="s">
        <v>8</v>
      </c>
      <c r="I2" s="9" t="s">
        <v>9</v>
      </c>
      <c r="J2" s="9" t="s">
        <v>10</v>
      </c>
      <c r="K2" s="10" t="s">
        <v>11</v>
      </c>
      <c r="L2" s="9" t="s">
        <v>17</v>
      </c>
      <c r="M2" s="25" t="s">
        <v>557</v>
      </c>
      <c r="N2" s="9" t="s">
        <v>558</v>
      </c>
    </row>
    <row r="3" spans="1:14" s="1" customFormat="1" ht="30" customHeight="1">
      <c r="A3" s="11">
        <v>1</v>
      </c>
      <c r="B3" s="57" t="s">
        <v>19</v>
      </c>
      <c r="C3" s="12"/>
      <c r="D3" s="58"/>
      <c r="E3" s="58"/>
      <c r="F3" s="12"/>
      <c r="G3" s="59">
        <v>4370070174</v>
      </c>
      <c r="H3" s="20" t="s">
        <v>559</v>
      </c>
      <c r="I3" s="21"/>
      <c r="J3" s="22" t="s">
        <v>46</v>
      </c>
      <c r="K3" s="23">
        <v>6</v>
      </c>
      <c r="L3" s="24"/>
      <c r="M3" s="28"/>
      <c r="N3" s="29"/>
    </row>
    <row r="4" spans="1:14" s="1" customFormat="1" ht="30" customHeight="1">
      <c r="A4" s="11">
        <v>2</v>
      </c>
      <c r="B4" s="57" t="s">
        <v>19</v>
      </c>
      <c r="C4" s="12"/>
      <c r="D4" s="58"/>
      <c r="E4" s="58"/>
      <c r="F4" s="12"/>
      <c r="G4" s="59">
        <v>4370070174</v>
      </c>
      <c r="H4" s="20" t="s">
        <v>560</v>
      </c>
      <c r="I4" s="21"/>
      <c r="J4" s="22" t="s">
        <v>46</v>
      </c>
      <c r="K4" s="23">
        <v>3</v>
      </c>
      <c r="L4" s="24"/>
      <c r="M4" s="28"/>
      <c r="N4" s="29"/>
    </row>
    <row r="5" spans="1:14" s="1" customFormat="1" ht="30" customHeight="1">
      <c r="A5" s="11">
        <v>3</v>
      </c>
      <c r="B5" s="57" t="s">
        <v>19</v>
      </c>
      <c r="C5" s="12"/>
      <c r="D5" s="58"/>
      <c r="E5" s="58"/>
      <c r="F5" s="12"/>
      <c r="G5" s="59">
        <v>4000219976</v>
      </c>
      <c r="H5" s="20" t="s">
        <v>561</v>
      </c>
      <c r="I5" s="21"/>
      <c r="J5" s="22" t="s">
        <v>46</v>
      </c>
      <c r="K5" s="23">
        <v>60</v>
      </c>
      <c r="L5" s="24"/>
      <c r="M5" s="28"/>
      <c r="N5" s="29"/>
    </row>
    <row r="6" spans="1:14" s="1" customFormat="1" ht="30" customHeight="1">
      <c r="A6" s="11">
        <v>4</v>
      </c>
      <c r="B6" s="57" t="s">
        <v>19</v>
      </c>
      <c r="C6" s="12"/>
      <c r="D6" s="58"/>
      <c r="E6" s="58"/>
      <c r="F6" s="12"/>
      <c r="G6" s="59">
        <v>4000219976</v>
      </c>
      <c r="H6" s="20" t="s">
        <v>561</v>
      </c>
      <c r="I6" s="21"/>
      <c r="J6" s="22" t="s">
        <v>46</v>
      </c>
      <c r="K6" s="23">
        <v>16</v>
      </c>
      <c r="L6" s="24"/>
      <c r="M6" s="28"/>
      <c r="N6" s="29"/>
    </row>
    <row r="7" spans="1:14" s="1" customFormat="1" ht="30" customHeight="1">
      <c r="A7" s="11">
        <v>5</v>
      </c>
      <c r="B7" s="57" t="s">
        <v>19</v>
      </c>
      <c r="C7" s="12"/>
      <c r="D7" s="58"/>
      <c r="E7" s="58"/>
      <c r="F7" s="12"/>
      <c r="G7" s="59">
        <v>4000219950</v>
      </c>
      <c r="H7" s="20" t="s">
        <v>561</v>
      </c>
      <c r="I7" s="21"/>
      <c r="J7" s="22" t="s">
        <v>46</v>
      </c>
      <c r="K7" s="23">
        <v>105</v>
      </c>
      <c r="L7" s="24"/>
      <c r="M7" s="28"/>
      <c r="N7" s="29"/>
    </row>
    <row r="8" spans="1:14" s="1" customFormat="1" ht="30" customHeight="1">
      <c r="A8" s="11">
        <v>6</v>
      </c>
      <c r="B8" s="57" t="s">
        <v>19</v>
      </c>
      <c r="C8" s="12"/>
      <c r="D8" s="58"/>
      <c r="E8" s="58"/>
      <c r="F8" s="12"/>
      <c r="G8" s="59">
        <v>4370069411</v>
      </c>
      <c r="H8" s="20" t="s">
        <v>464</v>
      </c>
      <c r="I8" s="21"/>
      <c r="J8" s="22" t="s">
        <v>46</v>
      </c>
      <c r="K8" s="23">
        <v>12</v>
      </c>
      <c r="L8" s="24" t="s">
        <v>562</v>
      </c>
      <c r="M8" s="28"/>
      <c r="N8" s="29" t="s">
        <v>563</v>
      </c>
    </row>
    <row r="9" spans="1:14" s="52" customFormat="1" ht="30" customHeight="1">
      <c r="A9" s="60">
        <v>7</v>
      </c>
      <c r="B9" s="61"/>
      <c r="C9" s="62" t="s">
        <v>564</v>
      </c>
      <c r="D9" s="63"/>
      <c r="E9" s="63"/>
      <c r="F9" s="62"/>
      <c r="G9" s="64">
        <v>4370069686</v>
      </c>
      <c r="H9" s="65" t="s">
        <v>565</v>
      </c>
      <c r="I9" s="85" t="s">
        <v>566</v>
      </c>
      <c r="J9" s="86" t="s">
        <v>567</v>
      </c>
      <c r="K9" s="87">
        <v>2</v>
      </c>
      <c r="L9" s="88"/>
      <c r="M9" s="89"/>
      <c r="N9" s="90"/>
    </row>
    <row r="10" spans="1:14" s="52" customFormat="1" ht="30" customHeight="1">
      <c r="A10" s="60">
        <v>8</v>
      </c>
      <c r="B10" s="61"/>
      <c r="C10" s="62" t="s">
        <v>564</v>
      </c>
      <c r="D10" s="63"/>
      <c r="E10" s="63"/>
      <c r="F10" s="62"/>
      <c r="G10" s="64">
        <v>4370069686</v>
      </c>
      <c r="H10" s="65" t="s">
        <v>565</v>
      </c>
      <c r="I10" s="85" t="s">
        <v>568</v>
      </c>
      <c r="J10" s="86" t="s">
        <v>567</v>
      </c>
      <c r="K10" s="87">
        <v>2</v>
      </c>
      <c r="L10" s="88"/>
      <c r="M10" s="89"/>
      <c r="N10" s="90"/>
    </row>
    <row r="11" spans="1:14" s="52" customFormat="1" ht="30" customHeight="1">
      <c r="A11" s="60">
        <v>9</v>
      </c>
      <c r="B11" s="61" t="s">
        <v>19</v>
      </c>
      <c r="C11" s="62">
        <v>46157</v>
      </c>
      <c r="D11" s="63"/>
      <c r="E11" s="63"/>
      <c r="F11" s="62"/>
      <c r="G11" s="64">
        <v>4370069686</v>
      </c>
      <c r="H11" s="65" t="s">
        <v>569</v>
      </c>
      <c r="I11" s="85" t="s">
        <v>570</v>
      </c>
      <c r="J11" s="86" t="s">
        <v>567</v>
      </c>
      <c r="K11" s="87">
        <v>3</v>
      </c>
      <c r="L11" s="88"/>
      <c r="M11" s="89"/>
      <c r="N11" s="90"/>
    </row>
    <row r="12" spans="1:14" s="53" customFormat="1" ht="30" customHeight="1">
      <c r="A12" s="66">
        <v>10</v>
      </c>
      <c r="B12" s="67" t="s">
        <v>19</v>
      </c>
      <c r="C12" s="68" t="s">
        <v>2</v>
      </c>
      <c r="D12" s="69" t="s">
        <v>571</v>
      </c>
      <c r="E12" s="69" t="s">
        <v>19</v>
      </c>
      <c r="F12" s="68"/>
      <c r="G12" s="303">
        <v>4370069745</v>
      </c>
      <c r="H12" s="70" t="s">
        <v>572</v>
      </c>
      <c r="I12" s="91" t="s">
        <v>573</v>
      </c>
      <c r="J12" s="92" t="s">
        <v>128</v>
      </c>
      <c r="K12" s="93">
        <v>2000</v>
      </c>
      <c r="L12" s="94"/>
      <c r="M12" s="95"/>
      <c r="N12" s="96" t="s">
        <v>574</v>
      </c>
    </row>
    <row r="13" spans="1:14" s="53" customFormat="1" ht="30" customHeight="1">
      <c r="A13" s="66">
        <v>11</v>
      </c>
      <c r="B13" s="67" t="s">
        <v>19</v>
      </c>
      <c r="C13" s="68" t="s">
        <v>575</v>
      </c>
      <c r="D13" s="69" t="s">
        <v>576</v>
      </c>
      <c r="E13" s="69" t="s">
        <v>19</v>
      </c>
      <c r="F13" s="68"/>
      <c r="G13" s="304"/>
      <c r="H13" s="70" t="s">
        <v>577</v>
      </c>
      <c r="I13" s="91" t="s">
        <v>578</v>
      </c>
      <c r="J13" s="92" t="s">
        <v>128</v>
      </c>
      <c r="K13" s="93">
        <v>2000</v>
      </c>
      <c r="L13" s="94"/>
      <c r="M13" s="95"/>
      <c r="N13" s="96" t="s">
        <v>574</v>
      </c>
    </row>
    <row r="14" spans="1:14" s="53" customFormat="1" ht="30" customHeight="1">
      <c r="A14" s="66">
        <v>12</v>
      </c>
      <c r="B14" s="67"/>
      <c r="C14" s="68" t="s">
        <v>579</v>
      </c>
      <c r="D14" s="69" t="s">
        <v>571</v>
      </c>
      <c r="E14" s="69" t="s">
        <v>19</v>
      </c>
      <c r="F14" s="68"/>
      <c r="G14" s="304"/>
      <c r="H14" s="70" t="s">
        <v>580</v>
      </c>
      <c r="I14" s="91" t="s">
        <v>581</v>
      </c>
      <c r="J14" s="92" t="s">
        <v>128</v>
      </c>
      <c r="K14" s="93">
        <v>2000</v>
      </c>
      <c r="L14" s="94"/>
      <c r="M14" s="95"/>
      <c r="N14" s="96" t="s">
        <v>574</v>
      </c>
    </row>
    <row r="15" spans="1:14" s="53" customFormat="1" ht="30" customHeight="1">
      <c r="A15" s="66">
        <v>13</v>
      </c>
      <c r="B15" s="67"/>
      <c r="C15" s="71" t="s">
        <v>582</v>
      </c>
      <c r="D15" s="69" t="s">
        <v>576</v>
      </c>
      <c r="E15" s="69" t="s">
        <v>19</v>
      </c>
      <c r="F15" s="68"/>
      <c r="G15" s="304"/>
      <c r="H15" s="70" t="s">
        <v>583</v>
      </c>
      <c r="I15" s="91" t="s">
        <v>584</v>
      </c>
      <c r="J15" s="92" t="s">
        <v>128</v>
      </c>
      <c r="K15" s="93">
        <v>2000</v>
      </c>
      <c r="L15" s="94"/>
      <c r="M15" s="95"/>
      <c r="N15" s="96" t="s">
        <v>574</v>
      </c>
    </row>
    <row r="16" spans="1:14" s="53" customFormat="1" ht="30" customHeight="1">
      <c r="A16" s="66">
        <v>14</v>
      </c>
      <c r="B16" s="67"/>
      <c r="C16" s="68" t="s">
        <v>585</v>
      </c>
      <c r="D16" s="69" t="s">
        <v>571</v>
      </c>
      <c r="E16" s="69" t="s">
        <v>19</v>
      </c>
      <c r="F16" s="68"/>
      <c r="G16" s="304"/>
      <c r="H16" s="70" t="s">
        <v>586</v>
      </c>
      <c r="I16" s="91" t="s">
        <v>587</v>
      </c>
      <c r="J16" s="92" t="s">
        <v>128</v>
      </c>
      <c r="K16" s="93">
        <v>300</v>
      </c>
      <c r="L16" s="94"/>
      <c r="M16" s="95"/>
      <c r="N16" s="96" t="s">
        <v>574</v>
      </c>
    </row>
    <row r="17" spans="1:14" s="53" customFormat="1" ht="30" customHeight="1">
      <c r="A17" s="66">
        <v>15</v>
      </c>
      <c r="B17" s="67"/>
      <c r="C17" s="68" t="s">
        <v>585</v>
      </c>
      <c r="D17" s="69" t="s">
        <v>571</v>
      </c>
      <c r="E17" s="69" t="s">
        <v>19</v>
      </c>
      <c r="F17" s="68"/>
      <c r="G17" s="304"/>
      <c r="H17" s="70" t="s">
        <v>588</v>
      </c>
      <c r="I17" s="91" t="s">
        <v>589</v>
      </c>
      <c r="J17" s="92" t="s">
        <v>128</v>
      </c>
      <c r="K17" s="93">
        <v>300</v>
      </c>
      <c r="L17" s="94"/>
      <c r="M17" s="95"/>
      <c r="N17" s="96" t="s">
        <v>574</v>
      </c>
    </row>
    <row r="18" spans="1:14" s="53" customFormat="1" ht="30" customHeight="1">
      <c r="A18" s="66">
        <v>16</v>
      </c>
      <c r="B18" s="67"/>
      <c r="C18" s="68" t="s">
        <v>585</v>
      </c>
      <c r="D18" s="69" t="s">
        <v>576</v>
      </c>
      <c r="E18" s="69" t="s">
        <v>19</v>
      </c>
      <c r="F18" s="68"/>
      <c r="G18" s="304"/>
      <c r="H18" s="70" t="s">
        <v>590</v>
      </c>
      <c r="I18" s="91" t="s">
        <v>591</v>
      </c>
      <c r="J18" s="92" t="s">
        <v>128</v>
      </c>
      <c r="K18" s="93">
        <v>300</v>
      </c>
      <c r="L18" s="94"/>
      <c r="M18" s="95"/>
      <c r="N18" s="96" t="s">
        <v>574</v>
      </c>
    </row>
    <row r="19" spans="1:14" s="53" customFormat="1" ht="30" customHeight="1">
      <c r="A19" s="66">
        <v>17</v>
      </c>
      <c r="B19" s="67" t="s">
        <v>19</v>
      </c>
      <c r="C19" s="68" t="s">
        <v>2</v>
      </c>
      <c r="D19" s="69" t="s">
        <v>571</v>
      </c>
      <c r="E19" s="69" t="s">
        <v>19</v>
      </c>
      <c r="F19" s="68"/>
      <c r="G19" s="304"/>
      <c r="H19" s="70" t="s">
        <v>572</v>
      </c>
      <c r="I19" s="91" t="s">
        <v>573</v>
      </c>
      <c r="J19" s="92" t="s">
        <v>128</v>
      </c>
      <c r="K19" s="93">
        <v>4000</v>
      </c>
      <c r="L19" s="94"/>
      <c r="M19" s="95"/>
      <c r="N19" s="96" t="s">
        <v>574</v>
      </c>
    </row>
    <row r="20" spans="1:14" s="53" customFormat="1" ht="30" customHeight="1">
      <c r="A20" s="66">
        <v>18</v>
      </c>
      <c r="B20" s="67"/>
      <c r="C20" s="71" t="s">
        <v>592</v>
      </c>
      <c r="D20" s="69" t="s">
        <v>576</v>
      </c>
      <c r="E20" s="69" t="s">
        <v>19</v>
      </c>
      <c r="F20" s="68"/>
      <c r="G20" s="305"/>
      <c r="H20" s="70" t="s">
        <v>577</v>
      </c>
      <c r="I20" s="91" t="s">
        <v>578</v>
      </c>
      <c r="J20" s="92" t="s">
        <v>128</v>
      </c>
      <c r="K20" s="93">
        <v>4000</v>
      </c>
      <c r="L20" s="94"/>
      <c r="M20" s="95"/>
      <c r="N20" s="96" t="s">
        <v>574</v>
      </c>
    </row>
    <row r="21" spans="1:14" s="1" customFormat="1" ht="30" customHeight="1">
      <c r="A21" s="11">
        <v>19</v>
      </c>
      <c r="B21" s="57" t="s">
        <v>19</v>
      </c>
      <c r="C21" s="12">
        <v>46065</v>
      </c>
      <c r="D21" s="58" t="s">
        <v>44</v>
      </c>
      <c r="E21" s="58" t="s">
        <v>19</v>
      </c>
      <c r="F21" s="12"/>
      <c r="G21" s="72">
        <v>4370069799</v>
      </c>
      <c r="H21" s="20" t="s">
        <v>593</v>
      </c>
      <c r="I21" s="21" t="s">
        <v>594</v>
      </c>
      <c r="J21" s="22" t="s">
        <v>46</v>
      </c>
      <c r="K21" s="23">
        <v>4</v>
      </c>
      <c r="L21" s="24"/>
      <c r="M21" s="72">
        <v>4370069602</v>
      </c>
      <c r="N21" s="29" t="s">
        <v>595</v>
      </c>
    </row>
    <row r="22" spans="1:14" s="1" customFormat="1" ht="30" customHeight="1">
      <c r="A22" s="11">
        <v>20</v>
      </c>
      <c r="B22" s="57" t="s">
        <v>19</v>
      </c>
      <c r="C22" s="12">
        <v>46065</v>
      </c>
      <c r="D22" s="58" t="s">
        <v>44</v>
      </c>
      <c r="E22" s="58" t="s">
        <v>19</v>
      </c>
      <c r="F22" s="12"/>
      <c r="G22" s="72">
        <v>4370069799</v>
      </c>
      <c r="H22" s="20" t="s">
        <v>596</v>
      </c>
      <c r="I22" s="50"/>
      <c r="J22" s="22" t="s">
        <v>46</v>
      </c>
      <c r="K22" s="23">
        <v>2</v>
      </c>
      <c r="L22" s="24" t="s">
        <v>597</v>
      </c>
      <c r="M22" s="72">
        <v>4370069602</v>
      </c>
      <c r="N22" s="29" t="s">
        <v>595</v>
      </c>
    </row>
    <row r="23" spans="1:14" s="1" customFormat="1" ht="30" customHeight="1">
      <c r="A23" s="11">
        <v>21</v>
      </c>
      <c r="B23" s="57" t="s">
        <v>19</v>
      </c>
      <c r="C23" s="12">
        <v>46078</v>
      </c>
      <c r="D23" s="58" t="s">
        <v>44</v>
      </c>
      <c r="E23" s="58" t="s">
        <v>19</v>
      </c>
      <c r="F23" s="12"/>
      <c r="G23" s="72">
        <v>4370069799</v>
      </c>
      <c r="H23" s="20" t="s">
        <v>596</v>
      </c>
      <c r="I23" s="50" t="s">
        <v>598</v>
      </c>
      <c r="J23" s="22" t="s">
        <v>46</v>
      </c>
      <c r="K23" s="23">
        <v>1</v>
      </c>
      <c r="L23" s="24"/>
      <c r="M23" s="72">
        <v>4370069602</v>
      </c>
      <c r="N23" s="29" t="s">
        <v>595</v>
      </c>
    </row>
    <row r="24" spans="1:14" s="1" customFormat="1" ht="30" customHeight="1">
      <c r="A24" s="11">
        <v>22</v>
      </c>
      <c r="B24" s="57" t="s">
        <v>19</v>
      </c>
      <c r="C24" s="12">
        <v>46105</v>
      </c>
      <c r="D24" s="58" t="s">
        <v>27</v>
      </c>
      <c r="E24" s="58" t="s">
        <v>19</v>
      </c>
      <c r="F24" s="12"/>
      <c r="G24" s="72">
        <v>4370069799</v>
      </c>
      <c r="H24" s="20" t="s">
        <v>599</v>
      </c>
      <c r="I24" s="50"/>
      <c r="J24" s="22" t="s">
        <v>46</v>
      </c>
      <c r="K24" s="23">
        <v>1</v>
      </c>
      <c r="L24" s="24"/>
      <c r="M24" s="72">
        <v>4370069602</v>
      </c>
      <c r="N24" s="29" t="s">
        <v>595</v>
      </c>
    </row>
    <row r="25" spans="1:14" s="1" customFormat="1" ht="30" customHeight="1">
      <c r="A25" s="11">
        <v>23</v>
      </c>
      <c r="B25" s="57" t="s">
        <v>19</v>
      </c>
      <c r="C25" s="12">
        <v>46084</v>
      </c>
      <c r="D25" s="58"/>
      <c r="E25" s="58" t="s">
        <v>19</v>
      </c>
      <c r="F25" s="12"/>
      <c r="G25" s="72">
        <v>4370069799</v>
      </c>
      <c r="H25" s="20" t="s">
        <v>600</v>
      </c>
      <c r="I25" s="50" t="s">
        <v>601</v>
      </c>
      <c r="J25" s="22" t="s">
        <v>46</v>
      </c>
      <c r="K25" s="23">
        <v>1</v>
      </c>
      <c r="L25" s="24"/>
      <c r="M25" s="72">
        <v>4370069602</v>
      </c>
      <c r="N25" s="29" t="s">
        <v>595</v>
      </c>
    </row>
    <row r="26" spans="1:14" s="1" customFormat="1" ht="30" customHeight="1">
      <c r="A26" s="11">
        <v>24</v>
      </c>
      <c r="B26" s="57" t="s">
        <v>19</v>
      </c>
      <c r="C26" s="12">
        <v>46090</v>
      </c>
      <c r="D26" s="58"/>
      <c r="E26" s="58" t="s">
        <v>19</v>
      </c>
      <c r="F26" s="12"/>
      <c r="G26" s="72">
        <v>4370069799</v>
      </c>
      <c r="H26" s="20" t="s">
        <v>602</v>
      </c>
      <c r="I26" s="50"/>
      <c r="J26" s="22" t="s">
        <v>46</v>
      </c>
      <c r="K26" s="23">
        <v>5</v>
      </c>
      <c r="L26" s="24"/>
      <c r="M26" s="72">
        <v>4370069602</v>
      </c>
      <c r="N26" s="29" t="s">
        <v>595</v>
      </c>
    </row>
    <row r="27" spans="1:14" s="1" customFormat="1" ht="30" customHeight="1">
      <c r="A27" s="11">
        <v>25</v>
      </c>
      <c r="B27" s="57" t="s">
        <v>19</v>
      </c>
      <c r="C27" s="12">
        <v>46093</v>
      </c>
      <c r="D27" s="58" t="s">
        <v>27</v>
      </c>
      <c r="E27" s="58" t="s">
        <v>19</v>
      </c>
      <c r="F27" s="12"/>
      <c r="G27" s="72">
        <v>4370069799</v>
      </c>
      <c r="H27" s="20" t="s">
        <v>603</v>
      </c>
      <c r="I27" s="50"/>
      <c r="J27" s="22" t="s">
        <v>46</v>
      </c>
      <c r="K27" s="23">
        <v>3</v>
      </c>
      <c r="L27" s="24"/>
      <c r="M27" s="72">
        <v>4370069602</v>
      </c>
      <c r="N27" s="29" t="s">
        <v>595</v>
      </c>
    </row>
    <row r="28" spans="1:14" s="1" customFormat="1" ht="30" customHeight="1">
      <c r="A28" s="11">
        <v>26</v>
      </c>
      <c r="B28" s="57" t="s">
        <v>19</v>
      </c>
      <c r="C28" s="26" t="s">
        <v>604</v>
      </c>
      <c r="D28" s="58" t="s">
        <v>27</v>
      </c>
      <c r="E28" s="58" t="s">
        <v>19</v>
      </c>
      <c r="F28" s="12"/>
      <c r="G28" s="72">
        <v>4370069799</v>
      </c>
      <c r="H28" s="20" t="s">
        <v>605</v>
      </c>
      <c r="I28" s="50"/>
      <c r="J28" s="22" t="s">
        <v>46</v>
      </c>
      <c r="K28" s="23">
        <v>5</v>
      </c>
      <c r="L28" s="24"/>
      <c r="M28" s="72">
        <v>4370069602</v>
      </c>
      <c r="N28" s="29" t="s">
        <v>595</v>
      </c>
    </row>
    <row r="29" spans="1:14" s="1" customFormat="1" ht="30" customHeight="1">
      <c r="A29" s="11">
        <v>27</v>
      </c>
      <c r="B29" s="57" t="s">
        <v>19</v>
      </c>
      <c r="C29" s="26">
        <v>46094</v>
      </c>
      <c r="D29" s="58" t="s">
        <v>27</v>
      </c>
      <c r="E29" s="58" t="s">
        <v>19</v>
      </c>
      <c r="F29" s="12"/>
      <c r="G29" s="59">
        <v>4370069764</v>
      </c>
      <c r="H29" s="20" t="s">
        <v>606</v>
      </c>
      <c r="I29" s="21" t="s">
        <v>607</v>
      </c>
      <c r="J29" s="22" t="s">
        <v>119</v>
      </c>
      <c r="K29" s="23">
        <v>90</v>
      </c>
      <c r="L29" s="24"/>
      <c r="M29" s="28"/>
      <c r="N29" s="29" t="s">
        <v>608</v>
      </c>
    </row>
    <row r="30" spans="1:14" s="1" customFormat="1" ht="30" customHeight="1">
      <c r="A30" s="11">
        <v>28</v>
      </c>
      <c r="B30" s="57" t="s">
        <v>19</v>
      </c>
      <c r="C30" s="12">
        <v>46119</v>
      </c>
      <c r="D30" s="58" t="s">
        <v>609</v>
      </c>
      <c r="E30" s="58" t="s">
        <v>19</v>
      </c>
      <c r="F30" s="12">
        <v>46116</v>
      </c>
      <c r="G30" s="59"/>
      <c r="H30" s="20" t="s">
        <v>610</v>
      </c>
      <c r="I30" s="50"/>
      <c r="J30" s="22" t="s">
        <v>46</v>
      </c>
      <c r="K30" s="23">
        <v>10</v>
      </c>
      <c r="L30" s="24"/>
      <c r="M30" s="28"/>
      <c r="N30" s="29" t="s">
        <v>595</v>
      </c>
    </row>
    <row r="31" spans="1:14" s="1" customFormat="1" ht="30" customHeight="1">
      <c r="A31" s="11">
        <v>29</v>
      </c>
      <c r="B31" s="57" t="s">
        <v>19</v>
      </c>
      <c r="C31" s="12">
        <v>46121</v>
      </c>
      <c r="D31" s="58" t="s">
        <v>44</v>
      </c>
      <c r="E31" s="58" t="s">
        <v>19</v>
      </c>
      <c r="F31" s="12">
        <v>46121</v>
      </c>
      <c r="G31" s="59"/>
      <c r="H31" s="20" t="s">
        <v>611</v>
      </c>
      <c r="I31" s="50"/>
      <c r="J31" s="22" t="s">
        <v>46</v>
      </c>
      <c r="K31" s="23">
        <v>4</v>
      </c>
      <c r="L31" s="24"/>
      <c r="M31" s="28"/>
      <c r="N31" s="29" t="s">
        <v>595</v>
      </c>
    </row>
    <row r="32" spans="1:14" s="1" customFormat="1" ht="30" customHeight="1">
      <c r="A32" s="11">
        <v>30</v>
      </c>
      <c r="B32" s="57" t="s">
        <v>19</v>
      </c>
      <c r="C32" s="12">
        <v>46121</v>
      </c>
      <c r="D32" s="58" t="s">
        <v>44</v>
      </c>
      <c r="E32" s="58" t="s">
        <v>19</v>
      </c>
      <c r="F32" s="12">
        <v>46121</v>
      </c>
      <c r="G32" s="59"/>
      <c r="H32" s="20" t="s">
        <v>612</v>
      </c>
      <c r="I32" s="50"/>
      <c r="J32" s="22" t="s">
        <v>46</v>
      </c>
      <c r="K32" s="23">
        <v>1</v>
      </c>
      <c r="L32" s="24"/>
      <c r="M32" s="28"/>
      <c r="N32" s="29" t="s">
        <v>595</v>
      </c>
    </row>
    <row r="33" spans="1:14" s="1" customFormat="1" ht="30" customHeight="1">
      <c r="A33" s="11">
        <v>31</v>
      </c>
      <c r="B33" s="57" t="s">
        <v>19</v>
      </c>
      <c r="C33" s="12">
        <v>46121</v>
      </c>
      <c r="D33" s="58" t="s">
        <v>386</v>
      </c>
      <c r="E33" s="58" t="s">
        <v>19</v>
      </c>
      <c r="F33" s="12">
        <v>46121</v>
      </c>
      <c r="G33" s="59"/>
      <c r="H33" s="20" t="s">
        <v>613</v>
      </c>
      <c r="I33" s="50" t="s">
        <v>614</v>
      </c>
      <c r="J33" s="22" t="s">
        <v>23</v>
      </c>
      <c r="K33" s="23">
        <v>300</v>
      </c>
      <c r="L33" s="24"/>
      <c r="M33" s="28"/>
      <c r="N33" s="29" t="s">
        <v>595</v>
      </c>
    </row>
    <row r="34" spans="1:14" s="1" customFormat="1" ht="30" customHeight="1">
      <c r="A34" s="11">
        <v>32</v>
      </c>
      <c r="B34" s="57"/>
      <c r="C34" s="12"/>
      <c r="D34" s="58" t="s">
        <v>386</v>
      </c>
      <c r="E34" s="58"/>
      <c r="F34" s="12"/>
      <c r="G34" s="59"/>
      <c r="H34" s="20" t="s">
        <v>615</v>
      </c>
      <c r="I34" s="21" t="s">
        <v>616</v>
      </c>
      <c r="J34" s="22" t="s">
        <v>23</v>
      </c>
      <c r="K34" s="23">
        <v>64</v>
      </c>
      <c r="L34" s="24"/>
      <c r="M34" s="28"/>
      <c r="N34" s="29" t="s">
        <v>595</v>
      </c>
    </row>
    <row r="35" spans="1:14" s="1" customFormat="1" ht="30" customHeight="1">
      <c r="A35" s="11">
        <v>33</v>
      </c>
      <c r="B35" s="57"/>
      <c r="C35" s="12"/>
      <c r="D35" s="58" t="s">
        <v>386</v>
      </c>
      <c r="E35" s="58"/>
      <c r="F35" s="12"/>
      <c r="G35" s="59"/>
      <c r="H35" s="20" t="s">
        <v>615</v>
      </c>
      <c r="I35" s="21" t="s">
        <v>617</v>
      </c>
      <c r="J35" s="22" t="s">
        <v>23</v>
      </c>
      <c r="K35" s="23">
        <v>184</v>
      </c>
      <c r="L35" s="24"/>
      <c r="M35" s="28"/>
      <c r="N35" s="29" t="s">
        <v>595</v>
      </c>
    </row>
    <row r="36" spans="1:14" s="1" customFormat="1" ht="63">
      <c r="A36" s="11">
        <v>34</v>
      </c>
      <c r="B36" s="57" t="s">
        <v>618</v>
      </c>
      <c r="C36" s="26" t="s">
        <v>619</v>
      </c>
      <c r="D36" s="58" t="s">
        <v>386</v>
      </c>
      <c r="E36" s="58" t="s">
        <v>19</v>
      </c>
      <c r="F36" s="12"/>
      <c r="G36" s="59">
        <v>4000219955</v>
      </c>
      <c r="H36" s="73" t="s">
        <v>473</v>
      </c>
      <c r="I36" s="21" t="s">
        <v>620</v>
      </c>
      <c r="J36" s="22" t="s">
        <v>46</v>
      </c>
      <c r="K36" s="23">
        <v>8</v>
      </c>
      <c r="L36" s="97" t="s">
        <v>621</v>
      </c>
      <c r="M36" s="28"/>
      <c r="N36" s="29" t="s">
        <v>622</v>
      </c>
    </row>
    <row r="37" spans="1:14" s="1" customFormat="1" ht="30" customHeight="1">
      <c r="A37" s="11">
        <v>35</v>
      </c>
      <c r="B37" s="57" t="s">
        <v>19</v>
      </c>
      <c r="C37" s="12">
        <v>46113</v>
      </c>
      <c r="D37" s="58" t="s">
        <v>571</v>
      </c>
      <c r="E37" s="58" t="s">
        <v>19</v>
      </c>
      <c r="F37" s="12"/>
      <c r="G37" s="72">
        <v>4370069928</v>
      </c>
      <c r="H37" s="20" t="s">
        <v>623</v>
      </c>
      <c r="I37" s="21" t="s">
        <v>624</v>
      </c>
      <c r="J37" s="22" t="s">
        <v>23</v>
      </c>
      <c r="K37" s="23">
        <v>80</v>
      </c>
      <c r="L37" s="24"/>
      <c r="M37" s="28"/>
      <c r="N37" s="29" t="s">
        <v>625</v>
      </c>
    </row>
    <row r="38" spans="1:14" s="1" customFormat="1" ht="30" customHeight="1">
      <c r="A38" s="66">
        <v>36</v>
      </c>
      <c r="B38" s="67" t="s">
        <v>19</v>
      </c>
      <c r="C38" s="74" t="s">
        <v>626</v>
      </c>
      <c r="D38" s="69" t="s">
        <v>571</v>
      </c>
      <c r="E38" s="69"/>
      <c r="F38" s="68"/>
      <c r="G38" s="75"/>
      <c r="H38" s="70" t="s">
        <v>572</v>
      </c>
      <c r="I38" s="91" t="s">
        <v>573</v>
      </c>
      <c r="J38" s="92" t="s">
        <v>128</v>
      </c>
      <c r="K38" s="93">
        <v>4500</v>
      </c>
      <c r="L38" s="94"/>
      <c r="M38" s="95"/>
      <c r="N38" s="96" t="s">
        <v>574</v>
      </c>
    </row>
    <row r="39" spans="1:14" s="1" customFormat="1" ht="30" customHeight="1">
      <c r="A39" s="66">
        <v>37</v>
      </c>
      <c r="B39" s="67"/>
      <c r="C39" s="68">
        <v>46167</v>
      </c>
      <c r="D39" s="69" t="s">
        <v>571</v>
      </c>
      <c r="E39" s="69"/>
      <c r="F39" s="68"/>
      <c r="G39" s="75"/>
      <c r="H39" s="70" t="s">
        <v>580</v>
      </c>
      <c r="I39" s="91" t="s">
        <v>581</v>
      </c>
      <c r="J39" s="92" t="s">
        <v>128</v>
      </c>
      <c r="K39" s="93">
        <v>1200</v>
      </c>
      <c r="L39" s="94"/>
      <c r="M39" s="95"/>
      <c r="N39" s="96" t="s">
        <v>574</v>
      </c>
    </row>
    <row r="40" spans="1:14" s="1" customFormat="1" ht="30" customHeight="1">
      <c r="A40" s="11">
        <v>38</v>
      </c>
      <c r="B40" s="57" t="s">
        <v>19</v>
      </c>
      <c r="C40" s="12">
        <v>46126</v>
      </c>
      <c r="D40" s="58" t="s">
        <v>576</v>
      </c>
      <c r="E40" s="58" t="s">
        <v>19</v>
      </c>
      <c r="F40" s="12">
        <v>46126</v>
      </c>
      <c r="G40" s="76" t="s">
        <v>627</v>
      </c>
      <c r="H40" s="20" t="s">
        <v>577</v>
      </c>
      <c r="I40" s="21" t="s">
        <v>578</v>
      </c>
      <c r="J40" s="22" t="s">
        <v>128</v>
      </c>
      <c r="K40" s="23">
        <v>190</v>
      </c>
      <c r="L40" s="24"/>
      <c r="M40" s="28">
        <v>46125</v>
      </c>
      <c r="N40" s="29" t="s">
        <v>628</v>
      </c>
    </row>
    <row r="41" spans="1:14" s="1" customFormat="1" ht="30" customHeight="1">
      <c r="A41" s="11">
        <v>39</v>
      </c>
      <c r="B41" s="57" t="s">
        <v>19</v>
      </c>
      <c r="C41" s="12">
        <v>46126</v>
      </c>
      <c r="D41" s="58" t="s">
        <v>629</v>
      </c>
      <c r="E41" s="58" t="s">
        <v>19</v>
      </c>
      <c r="F41" s="12">
        <v>46126</v>
      </c>
      <c r="G41" s="59"/>
      <c r="H41" s="20" t="s">
        <v>630</v>
      </c>
      <c r="I41" s="21" t="s">
        <v>631</v>
      </c>
      <c r="J41" s="22" t="s">
        <v>66</v>
      </c>
      <c r="K41" s="23">
        <v>380</v>
      </c>
      <c r="L41" s="24"/>
      <c r="M41" s="28">
        <v>46125</v>
      </c>
      <c r="N41" s="29" t="s">
        <v>628</v>
      </c>
    </row>
    <row r="42" spans="1:14" s="1" customFormat="1" ht="30" customHeight="1">
      <c r="A42" s="11">
        <v>40</v>
      </c>
      <c r="B42" s="57" t="s">
        <v>19</v>
      </c>
      <c r="C42" s="12">
        <v>46126</v>
      </c>
      <c r="D42" s="58" t="s">
        <v>629</v>
      </c>
      <c r="E42" s="58" t="s">
        <v>19</v>
      </c>
      <c r="F42" s="12">
        <v>46126</v>
      </c>
      <c r="G42" s="59"/>
      <c r="H42" s="20" t="s">
        <v>630</v>
      </c>
      <c r="I42" s="21" t="s">
        <v>632</v>
      </c>
      <c r="J42" s="22" t="s">
        <v>66</v>
      </c>
      <c r="K42" s="23">
        <v>380</v>
      </c>
      <c r="L42" s="24"/>
      <c r="M42" s="28">
        <v>46125</v>
      </c>
      <c r="N42" s="29" t="s">
        <v>628</v>
      </c>
    </row>
    <row r="43" spans="1:14" s="1" customFormat="1" ht="30" customHeight="1">
      <c r="A43" s="11">
        <v>41</v>
      </c>
      <c r="B43" s="57" t="s">
        <v>19</v>
      </c>
      <c r="C43" s="12">
        <v>46126</v>
      </c>
      <c r="D43" s="58" t="s">
        <v>629</v>
      </c>
      <c r="E43" s="58" t="s">
        <v>19</v>
      </c>
      <c r="F43" s="12">
        <v>46126</v>
      </c>
      <c r="G43" s="59"/>
      <c r="H43" s="20" t="s">
        <v>630</v>
      </c>
      <c r="I43" s="21" t="s">
        <v>633</v>
      </c>
      <c r="J43" s="22" t="s">
        <v>66</v>
      </c>
      <c r="K43" s="23">
        <v>760</v>
      </c>
      <c r="L43" s="24"/>
      <c r="M43" s="28">
        <v>46125</v>
      </c>
      <c r="N43" s="29" t="s">
        <v>628</v>
      </c>
    </row>
    <row r="44" spans="1:14" s="1" customFormat="1" ht="30" customHeight="1">
      <c r="A44" s="11">
        <v>42</v>
      </c>
      <c r="B44" s="57" t="s">
        <v>19</v>
      </c>
      <c r="C44" s="12">
        <v>46126</v>
      </c>
      <c r="D44" s="58" t="s">
        <v>571</v>
      </c>
      <c r="E44" s="58" t="s">
        <v>19</v>
      </c>
      <c r="F44" s="12">
        <v>46126</v>
      </c>
      <c r="G44" s="59"/>
      <c r="H44" s="20" t="s">
        <v>634</v>
      </c>
      <c r="I44" s="21" t="s">
        <v>635</v>
      </c>
      <c r="J44" s="22" t="s">
        <v>23</v>
      </c>
      <c r="K44" s="23">
        <v>6</v>
      </c>
      <c r="L44" s="24"/>
      <c r="M44" s="28">
        <v>46125</v>
      </c>
      <c r="N44" s="29" t="s">
        <v>628</v>
      </c>
    </row>
    <row r="45" spans="1:14" s="1" customFormat="1" ht="30" customHeight="1">
      <c r="A45" s="11">
        <v>43</v>
      </c>
      <c r="B45" s="57" t="s">
        <v>19</v>
      </c>
      <c r="C45" s="12">
        <v>46126</v>
      </c>
      <c r="D45" s="58" t="s">
        <v>571</v>
      </c>
      <c r="E45" s="58" t="s">
        <v>19</v>
      </c>
      <c r="F45" s="12">
        <v>46126</v>
      </c>
      <c r="G45" s="59"/>
      <c r="H45" s="20" t="s">
        <v>623</v>
      </c>
      <c r="I45" s="21" t="s">
        <v>636</v>
      </c>
      <c r="J45" s="22" t="s">
        <v>23</v>
      </c>
      <c r="K45" s="23">
        <v>18</v>
      </c>
      <c r="L45" s="24"/>
      <c r="M45" s="28">
        <v>46125</v>
      </c>
      <c r="N45" s="29" t="s">
        <v>628</v>
      </c>
    </row>
    <row r="46" spans="1:14" s="1" customFormat="1" ht="30" customHeight="1">
      <c r="A46" s="11">
        <v>44</v>
      </c>
      <c r="B46" s="57" t="s">
        <v>19</v>
      </c>
      <c r="C46" s="12">
        <v>46126</v>
      </c>
      <c r="D46" s="58" t="s">
        <v>571</v>
      </c>
      <c r="E46" s="58" t="s">
        <v>19</v>
      </c>
      <c r="F46" s="12">
        <v>46126</v>
      </c>
      <c r="G46" s="59"/>
      <c r="H46" s="20" t="s">
        <v>623</v>
      </c>
      <c r="I46" s="21" t="s">
        <v>636</v>
      </c>
      <c r="J46" s="22" t="s">
        <v>23</v>
      </c>
      <c r="K46" s="23">
        <v>500</v>
      </c>
      <c r="L46" s="24"/>
      <c r="M46" s="28"/>
      <c r="N46" s="29" t="s">
        <v>595</v>
      </c>
    </row>
    <row r="47" spans="1:14" s="1" customFormat="1" ht="30" customHeight="1">
      <c r="A47" s="11">
        <v>45</v>
      </c>
      <c r="B47" s="291" t="s">
        <v>637</v>
      </c>
      <c r="C47" s="294" t="s">
        <v>638</v>
      </c>
      <c r="D47" s="297" t="s">
        <v>629</v>
      </c>
      <c r="E47" s="58" t="s">
        <v>19</v>
      </c>
      <c r="F47" s="300" t="s">
        <v>639</v>
      </c>
      <c r="G47" s="307">
        <v>4370069948</v>
      </c>
      <c r="H47" s="20" t="s">
        <v>630</v>
      </c>
      <c r="I47" s="21" t="s">
        <v>640</v>
      </c>
      <c r="J47" s="22" t="s">
        <v>66</v>
      </c>
      <c r="K47" s="23">
        <v>20000</v>
      </c>
      <c r="L47" s="24" t="s">
        <v>641</v>
      </c>
      <c r="M47" s="28">
        <v>46126</v>
      </c>
      <c r="N47" s="29" t="s">
        <v>625</v>
      </c>
    </row>
    <row r="48" spans="1:14" s="1" customFormat="1" ht="30" customHeight="1">
      <c r="A48" s="11">
        <v>46</v>
      </c>
      <c r="B48" s="292"/>
      <c r="C48" s="295"/>
      <c r="D48" s="298"/>
      <c r="E48" s="58" t="s">
        <v>19</v>
      </c>
      <c r="F48" s="301"/>
      <c r="G48" s="307">
        <v>4370069948</v>
      </c>
      <c r="H48" s="20" t="s">
        <v>630</v>
      </c>
      <c r="I48" s="21" t="s">
        <v>642</v>
      </c>
      <c r="J48" s="22" t="s">
        <v>66</v>
      </c>
      <c r="K48" s="23">
        <v>10000</v>
      </c>
      <c r="L48" s="24" t="s">
        <v>641</v>
      </c>
      <c r="M48" s="28">
        <v>46126</v>
      </c>
      <c r="N48" s="29" t="s">
        <v>625</v>
      </c>
    </row>
    <row r="49" spans="1:14" s="1" customFormat="1" ht="30" customHeight="1">
      <c r="A49" s="11">
        <v>47</v>
      </c>
      <c r="B49" s="293"/>
      <c r="C49" s="296"/>
      <c r="D49" s="299"/>
      <c r="E49" s="58" t="s">
        <v>19</v>
      </c>
      <c r="F49" s="302"/>
      <c r="G49" s="307">
        <v>4370069948</v>
      </c>
      <c r="H49" s="20" t="s">
        <v>630</v>
      </c>
      <c r="I49" s="21" t="s">
        <v>643</v>
      </c>
      <c r="J49" s="22" t="s">
        <v>66</v>
      </c>
      <c r="K49" s="23">
        <v>10000</v>
      </c>
      <c r="L49" s="24" t="s">
        <v>641</v>
      </c>
      <c r="M49" s="28">
        <v>46126</v>
      </c>
      <c r="N49" s="29" t="s">
        <v>625</v>
      </c>
    </row>
    <row r="50" spans="1:14" s="1" customFormat="1" ht="54">
      <c r="A50" s="11">
        <v>48</v>
      </c>
      <c r="B50" s="79" t="s">
        <v>19</v>
      </c>
      <c r="C50" s="80" t="s">
        <v>644</v>
      </c>
      <c r="D50" s="28" t="s">
        <v>645</v>
      </c>
      <c r="E50" s="58" t="s">
        <v>19</v>
      </c>
      <c r="F50" s="26" t="s">
        <v>646</v>
      </c>
      <c r="G50" s="307">
        <v>4370069948</v>
      </c>
      <c r="H50" s="20" t="s">
        <v>634</v>
      </c>
      <c r="I50" s="21" t="s">
        <v>647</v>
      </c>
      <c r="J50" s="22" t="s">
        <v>23</v>
      </c>
      <c r="K50" s="23">
        <v>500</v>
      </c>
      <c r="L50" s="98" t="s">
        <v>648</v>
      </c>
      <c r="M50" s="28">
        <v>46126</v>
      </c>
      <c r="N50" s="29" t="s">
        <v>625</v>
      </c>
    </row>
    <row r="51" spans="1:14" s="1" customFormat="1" ht="30" customHeight="1">
      <c r="A51" s="11">
        <v>49</v>
      </c>
      <c r="B51" s="57" t="s">
        <v>19</v>
      </c>
      <c r="C51" s="12">
        <v>46141</v>
      </c>
      <c r="D51" s="58" t="s">
        <v>571</v>
      </c>
      <c r="E51" s="58" t="s">
        <v>19</v>
      </c>
      <c r="F51" s="12">
        <v>46135</v>
      </c>
      <c r="G51" s="307">
        <v>4370069948</v>
      </c>
      <c r="H51" s="20" t="s">
        <v>623</v>
      </c>
      <c r="I51" s="21" t="s">
        <v>649</v>
      </c>
      <c r="J51" s="22" t="s">
        <v>23</v>
      </c>
      <c r="K51" s="23">
        <v>600</v>
      </c>
      <c r="L51" s="24"/>
      <c r="M51" s="28">
        <v>46126</v>
      </c>
      <c r="N51" s="29" t="s">
        <v>625</v>
      </c>
    </row>
    <row r="52" spans="1:14" s="1" customFormat="1" ht="30" customHeight="1">
      <c r="A52" s="11">
        <v>50</v>
      </c>
      <c r="B52" s="57" t="s">
        <v>19</v>
      </c>
      <c r="C52" s="81" t="s">
        <v>650</v>
      </c>
      <c r="D52" s="58" t="s">
        <v>571</v>
      </c>
      <c r="E52" s="58" t="s">
        <v>19</v>
      </c>
      <c r="F52" s="12">
        <v>46174</v>
      </c>
      <c r="G52" s="307">
        <v>4370069948</v>
      </c>
      <c r="H52" s="20" t="s">
        <v>572</v>
      </c>
      <c r="I52" s="21" t="s">
        <v>573</v>
      </c>
      <c r="J52" s="22" t="s">
        <v>128</v>
      </c>
      <c r="K52" s="23">
        <v>12500</v>
      </c>
      <c r="L52" s="24"/>
      <c r="M52" s="28">
        <v>46126</v>
      </c>
      <c r="N52" s="29" t="s">
        <v>625</v>
      </c>
    </row>
    <row r="53" spans="1:14" s="1" customFormat="1" ht="30" customHeight="1">
      <c r="A53" s="11">
        <v>51</v>
      </c>
      <c r="B53" s="79" t="s">
        <v>19</v>
      </c>
      <c r="C53" s="26" t="s">
        <v>651</v>
      </c>
      <c r="D53" s="58" t="s">
        <v>571</v>
      </c>
      <c r="E53" s="58" t="s">
        <v>19</v>
      </c>
      <c r="F53" s="26" t="s">
        <v>652</v>
      </c>
      <c r="G53" s="307">
        <v>4370069948</v>
      </c>
      <c r="H53" s="20" t="s">
        <v>653</v>
      </c>
      <c r="I53" s="21" t="s">
        <v>654</v>
      </c>
      <c r="J53" s="22" t="s">
        <v>23</v>
      </c>
      <c r="K53" s="23">
        <v>80</v>
      </c>
      <c r="L53" s="24"/>
      <c r="M53" s="28">
        <v>46126</v>
      </c>
      <c r="N53" s="29" t="s">
        <v>625</v>
      </c>
    </row>
    <row r="54" spans="1:14" s="1" customFormat="1" ht="30" customHeight="1">
      <c r="A54" s="11">
        <v>52</v>
      </c>
      <c r="B54" s="57" t="s">
        <v>19</v>
      </c>
      <c r="C54" s="12">
        <v>46141</v>
      </c>
      <c r="D54" s="58" t="s">
        <v>655</v>
      </c>
      <c r="E54" s="58" t="s">
        <v>19</v>
      </c>
      <c r="F54" s="12">
        <v>46141</v>
      </c>
      <c r="G54" s="307">
        <v>4370069948</v>
      </c>
      <c r="H54" s="20" t="s">
        <v>656</v>
      </c>
      <c r="I54" s="21" t="s">
        <v>657</v>
      </c>
      <c r="J54" s="22" t="s">
        <v>128</v>
      </c>
      <c r="K54" s="23">
        <v>22</v>
      </c>
      <c r="L54" s="51" t="s">
        <v>658</v>
      </c>
      <c r="M54" s="28">
        <v>46133</v>
      </c>
      <c r="N54" s="29" t="s">
        <v>625</v>
      </c>
    </row>
    <row r="55" spans="1:14" s="1" customFormat="1" ht="30" customHeight="1">
      <c r="A55" s="11">
        <v>53</v>
      </c>
      <c r="B55" s="57" t="s">
        <v>19</v>
      </c>
      <c r="C55" s="12">
        <v>46141</v>
      </c>
      <c r="D55" s="58" t="s">
        <v>629</v>
      </c>
      <c r="E55" s="58" t="s">
        <v>19</v>
      </c>
      <c r="F55" s="12">
        <v>46141</v>
      </c>
      <c r="G55" s="59"/>
      <c r="H55" s="20" t="s">
        <v>659</v>
      </c>
      <c r="I55" s="21" t="s">
        <v>660</v>
      </c>
      <c r="J55" s="22" t="s">
        <v>66</v>
      </c>
      <c r="K55" s="23">
        <v>88</v>
      </c>
      <c r="L55" s="24"/>
      <c r="M55" s="28">
        <v>46136</v>
      </c>
      <c r="N55" s="29" t="s">
        <v>625</v>
      </c>
    </row>
    <row r="56" spans="1:14" s="1" customFormat="1" ht="30" customHeight="1">
      <c r="A56" s="11">
        <v>54</v>
      </c>
      <c r="B56" s="57" t="s">
        <v>19</v>
      </c>
      <c r="C56" s="12">
        <v>46141</v>
      </c>
      <c r="D56" s="58" t="s">
        <v>629</v>
      </c>
      <c r="E56" s="58" t="s">
        <v>19</v>
      </c>
      <c r="F56" s="12">
        <v>46141</v>
      </c>
      <c r="G56" s="59"/>
      <c r="H56" s="20" t="s">
        <v>659</v>
      </c>
      <c r="I56" s="21" t="s">
        <v>661</v>
      </c>
      <c r="J56" s="22" t="s">
        <v>66</v>
      </c>
      <c r="K56" s="23">
        <v>44</v>
      </c>
      <c r="L56" s="24"/>
      <c r="M56" s="28">
        <v>46136</v>
      </c>
      <c r="N56" s="29" t="s">
        <v>625</v>
      </c>
    </row>
    <row r="57" spans="1:14" s="1" customFormat="1" ht="30" customHeight="1">
      <c r="A57" s="11">
        <v>55</v>
      </c>
      <c r="B57" s="57" t="s">
        <v>19</v>
      </c>
      <c r="C57" s="12">
        <v>46141</v>
      </c>
      <c r="D57" s="58" t="s">
        <v>629</v>
      </c>
      <c r="E57" s="58" t="s">
        <v>19</v>
      </c>
      <c r="F57" s="12">
        <v>46141</v>
      </c>
      <c r="G57" s="59"/>
      <c r="H57" s="20" t="s">
        <v>659</v>
      </c>
      <c r="I57" s="21" t="s">
        <v>662</v>
      </c>
      <c r="J57" s="22" t="s">
        <v>66</v>
      </c>
      <c r="K57" s="23">
        <v>44</v>
      </c>
      <c r="L57" s="24"/>
      <c r="M57" s="28">
        <v>46136</v>
      </c>
      <c r="N57" s="29" t="s">
        <v>625</v>
      </c>
    </row>
    <row r="58" spans="1:14" s="1" customFormat="1" ht="30" customHeight="1">
      <c r="A58" s="11">
        <v>56</v>
      </c>
      <c r="B58" s="57" t="s">
        <v>19</v>
      </c>
      <c r="C58" s="12">
        <v>46142</v>
      </c>
      <c r="D58" s="58" t="s">
        <v>609</v>
      </c>
      <c r="E58" s="58" t="s">
        <v>19</v>
      </c>
      <c r="F58" s="12">
        <v>46142</v>
      </c>
      <c r="G58" s="59">
        <v>4000220014</v>
      </c>
      <c r="H58" s="20" t="s">
        <v>663</v>
      </c>
      <c r="I58" s="21" t="s">
        <v>664</v>
      </c>
      <c r="J58" s="22" t="s">
        <v>46</v>
      </c>
      <c r="K58" s="23">
        <v>4</v>
      </c>
      <c r="L58" s="24"/>
      <c r="M58" s="28">
        <v>46132</v>
      </c>
      <c r="N58" s="29" t="s">
        <v>574</v>
      </c>
    </row>
    <row r="59" spans="1:14" s="1" customFormat="1" ht="30" customHeight="1">
      <c r="A59" s="11">
        <v>57</v>
      </c>
      <c r="B59" s="79" t="s">
        <v>19</v>
      </c>
      <c r="C59" s="83" t="s">
        <v>665</v>
      </c>
      <c r="D59" s="28" t="s">
        <v>666</v>
      </c>
      <c r="E59" s="58" t="s">
        <v>19</v>
      </c>
      <c r="F59" s="83" t="s">
        <v>667</v>
      </c>
      <c r="G59" s="84"/>
      <c r="H59" s="20" t="s">
        <v>653</v>
      </c>
      <c r="I59" s="21" t="s">
        <v>654</v>
      </c>
      <c r="J59" s="22" t="s">
        <v>23</v>
      </c>
      <c r="K59" s="23">
        <v>200</v>
      </c>
      <c r="L59" s="24" t="s">
        <v>668</v>
      </c>
      <c r="M59" s="28">
        <v>46141</v>
      </c>
      <c r="N59" s="29" t="s">
        <v>625</v>
      </c>
    </row>
    <row r="60" spans="1:14" s="1" customFormat="1" ht="30" customHeight="1">
      <c r="A60" s="11">
        <v>58</v>
      </c>
      <c r="B60" s="57" t="s">
        <v>19</v>
      </c>
      <c r="C60" s="12">
        <v>46167</v>
      </c>
      <c r="D60" s="58" t="s">
        <v>576</v>
      </c>
      <c r="E60" s="58" t="s">
        <v>19</v>
      </c>
      <c r="F60" s="12">
        <v>46167</v>
      </c>
      <c r="G60" s="76" t="s">
        <v>627</v>
      </c>
      <c r="H60" s="20" t="s">
        <v>577</v>
      </c>
      <c r="I60" s="21" t="s">
        <v>578</v>
      </c>
      <c r="J60" s="22" t="s">
        <v>128</v>
      </c>
      <c r="K60" s="23">
        <v>250</v>
      </c>
      <c r="L60" s="24"/>
      <c r="M60" s="28">
        <v>46164</v>
      </c>
      <c r="N60" s="29" t="s">
        <v>625</v>
      </c>
    </row>
    <row r="61" spans="1:14" s="1" customFormat="1" ht="30" customHeight="1">
      <c r="A61" s="11">
        <v>59</v>
      </c>
      <c r="B61" s="57" t="s">
        <v>19</v>
      </c>
      <c r="C61" s="12">
        <v>46176</v>
      </c>
      <c r="D61" s="58"/>
      <c r="E61" s="58" t="s">
        <v>19</v>
      </c>
      <c r="F61" s="12"/>
      <c r="G61" s="59">
        <v>4370070287</v>
      </c>
      <c r="H61" s="20" t="s">
        <v>669</v>
      </c>
      <c r="I61" s="21"/>
      <c r="J61" s="22" t="s">
        <v>46</v>
      </c>
      <c r="K61" s="23">
        <v>2</v>
      </c>
      <c r="L61" s="24"/>
      <c r="M61" s="28"/>
      <c r="N61" s="29"/>
    </row>
    <row r="62" spans="1:14" s="1" customFormat="1" ht="30" customHeight="1">
      <c r="A62" s="11">
        <v>60</v>
      </c>
      <c r="B62" s="57"/>
      <c r="C62" s="12">
        <v>46181</v>
      </c>
      <c r="D62" s="58" t="s">
        <v>576</v>
      </c>
      <c r="E62" s="58" t="s">
        <v>19</v>
      </c>
      <c r="F62" s="12"/>
      <c r="G62" s="76" t="s">
        <v>627</v>
      </c>
      <c r="H62" s="20" t="s">
        <v>577</v>
      </c>
      <c r="I62" s="21" t="s">
        <v>578</v>
      </c>
      <c r="J62" s="22" t="s">
        <v>128</v>
      </c>
      <c r="K62" s="23">
        <v>114</v>
      </c>
      <c r="L62" s="24"/>
      <c r="M62" s="28">
        <v>46175</v>
      </c>
      <c r="N62" s="29" t="s">
        <v>628</v>
      </c>
    </row>
    <row r="63" spans="1:14" s="1" customFormat="1" ht="30" customHeight="1">
      <c r="A63" s="11">
        <v>61</v>
      </c>
      <c r="B63" s="57" t="s">
        <v>19</v>
      </c>
      <c r="C63" s="12">
        <v>46177</v>
      </c>
      <c r="D63" s="58" t="s">
        <v>629</v>
      </c>
      <c r="E63" s="58" t="s">
        <v>19</v>
      </c>
      <c r="F63" s="12"/>
      <c r="G63" s="59"/>
      <c r="H63" s="20" t="s">
        <v>630</v>
      </c>
      <c r="I63" s="21" t="s">
        <v>631</v>
      </c>
      <c r="J63" s="22" t="s">
        <v>66</v>
      </c>
      <c r="K63" s="23">
        <v>228</v>
      </c>
      <c r="L63" s="24"/>
      <c r="M63" s="28">
        <v>46175</v>
      </c>
      <c r="N63" s="29" t="s">
        <v>628</v>
      </c>
    </row>
    <row r="64" spans="1:14" s="1" customFormat="1" ht="30" customHeight="1">
      <c r="A64" s="11">
        <v>62</v>
      </c>
      <c r="B64" s="57" t="s">
        <v>19</v>
      </c>
      <c r="C64" s="12">
        <v>46177</v>
      </c>
      <c r="D64" s="58" t="s">
        <v>629</v>
      </c>
      <c r="E64" s="58" t="s">
        <v>19</v>
      </c>
      <c r="F64" s="12"/>
      <c r="G64" s="59"/>
      <c r="H64" s="20" t="s">
        <v>630</v>
      </c>
      <c r="I64" s="21" t="s">
        <v>632</v>
      </c>
      <c r="J64" s="22" t="s">
        <v>66</v>
      </c>
      <c r="K64" s="23">
        <v>228</v>
      </c>
      <c r="L64" s="24"/>
      <c r="M64" s="28">
        <v>46175</v>
      </c>
      <c r="N64" s="29" t="s">
        <v>628</v>
      </c>
    </row>
    <row r="65" spans="1:14" s="1" customFormat="1" ht="30" customHeight="1">
      <c r="A65" s="11">
        <v>63</v>
      </c>
      <c r="B65" s="57" t="s">
        <v>19</v>
      </c>
      <c r="C65" s="12">
        <v>46177</v>
      </c>
      <c r="D65" s="58" t="s">
        <v>629</v>
      </c>
      <c r="E65" s="58" t="s">
        <v>19</v>
      </c>
      <c r="F65" s="12"/>
      <c r="G65" s="59"/>
      <c r="H65" s="20" t="s">
        <v>630</v>
      </c>
      <c r="I65" s="21" t="s">
        <v>633</v>
      </c>
      <c r="J65" s="22" t="s">
        <v>66</v>
      </c>
      <c r="K65" s="23">
        <v>456</v>
      </c>
      <c r="L65" s="24"/>
      <c r="M65" s="28">
        <v>46175</v>
      </c>
      <c r="N65" s="29" t="s">
        <v>628</v>
      </c>
    </row>
    <row r="66" spans="1:14" s="1" customFormat="1" ht="30" customHeight="1">
      <c r="A66" s="11"/>
      <c r="B66" s="57"/>
      <c r="C66" s="12"/>
      <c r="D66" s="58"/>
      <c r="E66" s="58"/>
      <c r="F66" s="12"/>
      <c r="G66" s="59"/>
      <c r="H66" s="20"/>
      <c r="I66" s="21"/>
      <c r="J66" s="22"/>
      <c r="K66" s="23"/>
      <c r="L66" s="24"/>
      <c r="M66" s="28"/>
      <c r="N66" s="29"/>
    </row>
  </sheetData>
  <autoFilter ref="A2:M65" xr:uid="{00000000-0009-0000-0000-000001000000}">
    <sortState xmlns:xlrd2="http://schemas.microsoft.com/office/spreadsheetml/2017/richdata2" ref="A2:M65">
      <sortCondition ref="C2:C295"/>
    </sortState>
  </autoFilter>
  <mergeCells count="5">
    <mergeCell ref="B47:B49"/>
    <mergeCell ref="C47:C49"/>
    <mergeCell ref="D47:D49"/>
    <mergeCell ref="F47:F49"/>
    <mergeCell ref="G12:G20"/>
  </mergeCells>
  <phoneticPr fontId="44" type="noConversion"/>
  <pageMargins left="0.69930555555555596" right="0.69930555555555596" top="0.75" bottom="0.75" header="0.3" footer="0.3"/>
  <pageSetup paperSize="9" scale="5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EW46"/>
  <sheetViews>
    <sheetView zoomScale="80" zoomScaleNormal="80" workbookViewId="0">
      <pane ySplit="2" topLeftCell="A29" activePane="bottomLeft" state="frozen"/>
      <selection pane="bottomLeft" activeCell="B34" sqref="B34"/>
    </sheetView>
  </sheetViews>
  <sheetFormatPr defaultColWidth="9" defaultRowHeight="16.5"/>
  <cols>
    <col min="1" max="1" width="6.875" style="1" customWidth="1"/>
    <col min="2" max="2" width="15.125" style="4" customWidth="1"/>
    <col min="3" max="3" width="32.5" style="5" customWidth="1"/>
    <col min="4" max="4" width="30" style="5" customWidth="1"/>
    <col min="5" max="5" width="4.875" style="1" customWidth="1"/>
    <col min="6" max="6" width="8.125" style="6" customWidth="1"/>
    <col min="7" max="7" width="30.625" style="1" customWidth="1"/>
    <col min="8" max="8" width="15.625" style="4" customWidth="1"/>
    <col min="9" max="9" width="17.75" style="1" customWidth="1"/>
    <col min="10" max="16377" width="9" style="1"/>
  </cols>
  <sheetData>
    <row r="1" spans="1:9" s="1" customFormat="1" ht="30" customHeight="1">
      <c r="A1" s="36" t="s">
        <v>670</v>
      </c>
      <c r="B1" s="37"/>
      <c r="C1" s="5"/>
      <c r="D1" s="5"/>
      <c r="F1" s="6"/>
      <c r="H1" s="4"/>
    </row>
    <row r="2" spans="1:9" s="2" customFormat="1" ht="15.75">
      <c r="A2" s="7" t="s">
        <v>1</v>
      </c>
      <c r="B2" s="8" t="s">
        <v>671</v>
      </c>
      <c r="C2" s="9" t="s">
        <v>8</v>
      </c>
      <c r="D2" s="9" t="s">
        <v>9</v>
      </c>
      <c r="E2" s="9" t="s">
        <v>10</v>
      </c>
      <c r="F2" s="10" t="s">
        <v>11</v>
      </c>
      <c r="G2" s="9" t="s">
        <v>17</v>
      </c>
      <c r="H2" s="25" t="s">
        <v>557</v>
      </c>
      <c r="I2" s="9" t="s">
        <v>558</v>
      </c>
    </row>
    <row r="3" spans="1:9" s="1" customFormat="1" ht="30" customHeight="1">
      <c r="A3" s="11">
        <v>1</v>
      </c>
      <c r="B3" s="12">
        <v>46086</v>
      </c>
      <c r="C3" s="20" t="s">
        <v>623</v>
      </c>
      <c r="D3" s="50" t="s">
        <v>672</v>
      </c>
      <c r="E3" s="22" t="s">
        <v>23</v>
      </c>
      <c r="F3" s="23">
        <v>30</v>
      </c>
      <c r="G3" s="24"/>
      <c r="H3" s="28"/>
      <c r="I3" s="29"/>
    </row>
    <row r="4" spans="1:9" s="1" customFormat="1" ht="30" customHeight="1">
      <c r="A4" s="11">
        <v>2</v>
      </c>
      <c r="B4" s="12">
        <v>46091</v>
      </c>
      <c r="C4" s="20" t="s">
        <v>473</v>
      </c>
      <c r="D4" s="21" t="s">
        <v>673</v>
      </c>
      <c r="E4" s="22" t="s">
        <v>46</v>
      </c>
      <c r="F4" s="23">
        <v>1</v>
      </c>
      <c r="G4" s="24"/>
      <c r="H4" s="28"/>
      <c r="I4" s="29" t="s">
        <v>622</v>
      </c>
    </row>
    <row r="5" spans="1:9" s="1" customFormat="1" ht="30" customHeight="1">
      <c r="A5" s="11">
        <v>3</v>
      </c>
      <c r="B5" s="12">
        <v>46093</v>
      </c>
      <c r="C5" s="20" t="s">
        <v>473</v>
      </c>
      <c r="D5" s="21" t="s">
        <v>620</v>
      </c>
      <c r="E5" s="22" t="s">
        <v>46</v>
      </c>
      <c r="F5" s="23">
        <v>2</v>
      </c>
      <c r="G5" s="24"/>
      <c r="H5" s="28"/>
      <c r="I5" s="29" t="s">
        <v>622</v>
      </c>
    </row>
    <row r="6" spans="1:9" s="1" customFormat="1" ht="30" customHeight="1">
      <c r="A6" s="11">
        <v>4</v>
      </c>
      <c r="B6" s="12">
        <v>46094</v>
      </c>
      <c r="C6" s="20" t="s">
        <v>623</v>
      </c>
      <c r="D6" s="50" t="s">
        <v>672</v>
      </c>
      <c r="E6" s="22" t="s">
        <v>23</v>
      </c>
      <c r="F6" s="23">
        <v>30</v>
      </c>
      <c r="G6" s="24"/>
      <c r="H6" s="28"/>
      <c r="I6" s="29"/>
    </row>
    <row r="7" spans="1:9" s="1" customFormat="1" ht="30" customHeight="1">
      <c r="A7" s="11">
        <v>5</v>
      </c>
      <c r="B7" s="12">
        <v>46094</v>
      </c>
      <c r="C7" s="20" t="s">
        <v>634</v>
      </c>
      <c r="D7" s="50" t="s">
        <v>674</v>
      </c>
      <c r="E7" s="22" t="s">
        <v>23</v>
      </c>
      <c r="F7" s="23">
        <v>50</v>
      </c>
      <c r="G7" s="24"/>
      <c r="H7" s="28"/>
      <c r="I7" s="29"/>
    </row>
    <row r="8" spans="1:9" s="1" customFormat="1" ht="30" customHeight="1">
      <c r="A8" s="11">
        <v>6</v>
      </c>
      <c r="B8" s="12">
        <v>46097</v>
      </c>
      <c r="C8" s="20" t="s">
        <v>473</v>
      </c>
      <c r="D8" s="21" t="s">
        <v>620</v>
      </c>
      <c r="E8" s="22" t="s">
        <v>46</v>
      </c>
      <c r="F8" s="23">
        <v>2</v>
      </c>
      <c r="G8" s="24"/>
      <c r="H8" s="28"/>
      <c r="I8" s="29" t="s">
        <v>622</v>
      </c>
    </row>
    <row r="9" spans="1:9" s="1" customFormat="1" ht="30" customHeight="1">
      <c r="A9" s="11">
        <v>7</v>
      </c>
      <c r="B9" s="12">
        <v>46098</v>
      </c>
      <c r="C9" s="20" t="s">
        <v>653</v>
      </c>
      <c r="D9" s="50" t="s">
        <v>672</v>
      </c>
      <c r="E9" s="22" t="s">
        <v>23</v>
      </c>
      <c r="F9" s="23">
        <v>30</v>
      </c>
      <c r="G9" s="24"/>
      <c r="H9" s="28"/>
      <c r="I9" s="29"/>
    </row>
    <row r="10" spans="1:9" s="1" customFormat="1" ht="30" customHeight="1">
      <c r="A10" s="11">
        <v>8</v>
      </c>
      <c r="B10" s="12">
        <v>46099</v>
      </c>
      <c r="C10" s="20" t="s">
        <v>623</v>
      </c>
      <c r="D10" s="21" t="s">
        <v>675</v>
      </c>
      <c r="E10" s="22" t="s">
        <v>23</v>
      </c>
      <c r="F10" s="23">
        <v>240</v>
      </c>
      <c r="G10" s="24"/>
      <c r="H10" s="28"/>
      <c r="I10" s="29"/>
    </row>
    <row r="11" spans="1:9" s="1" customFormat="1" ht="30" customHeight="1">
      <c r="A11" s="11">
        <v>9</v>
      </c>
      <c r="B11" s="12">
        <v>46101</v>
      </c>
      <c r="C11" s="20" t="s">
        <v>634</v>
      </c>
      <c r="D11" s="50"/>
      <c r="E11" s="22" t="s">
        <v>23</v>
      </c>
      <c r="F11" s="23">
        <v>150</v>
      </c>
      <c r="G11" s="24"/>
      <c r="H11" s="28"/>
      <c r="I11" s="29"/>
    </row>
    <row r="12" spans="1:9" s="1" customFormat="1" ht="30" customHeight="1">
      <c r="A12" s="11">
        <v>10</v>
      </c>
      <c r="B12" s="12">
        <v>46113</v>
      </c>
      <c r="C12" s="20" t="s">
        <v>676</v>
      </c>
      <c r="D12" s="21" t="s">
        <v>677</v>
      </c>
      <c r="E12" s="22" t="s">
        <v>128</v>
      </c>
      <c r="F12" s="23">
        <v>4980</v>
      </c>
      <c r="G12" s="24"/>
      <c r="H12" s="28"/>
      <c r="I12" s="29"/>
    </row>
    <row r="13" spans="1:9" s="1" customFormat="1" ht="30" customHeight="1">
      <c r="A13" s="11">
        <v>11</v>
      </c>
      <c r="B13" s="12">
        <v>46113</v>
      </c>
      <c r="C13" s="20" t="s">
        <v>623</v>
      </c>
      <c r="D13" s="21" t="s">
        <v>678</v>
      </c>
      <c r="E13" s="22" t="s">
        <v>23</v>
      </c>
      <c r="F13" s="23">
        <v>80</v>
      </c>
      <c r="G13" s="24"/>
      <c r="H13" s="28"/>
      <c r="I13" s="29"/>
    </row>
    <row r="14" spans="1:9" s="1" customFormat="1" ht="30" customHeight="1">
      <c r="A14" s="11">
        <v>12</v>
      </c>
      <c r="B14" s="12">
        <v>46120</v>
      </c>
      <c r="C14" s="20" t="s">
        <v>623</v>
      </c>
      <c r="D14" s="21" t="s">
        <v>679</v>
      </c>
      <c r="E14" s="22" t="s">
        <v>23</v>
      </c>
      <c r="F14" s="23">
        <v>240</v>
      </c>
      <c r="G14" s="24"/>
      <c r="H14" s="28"/>
      <c r="I14" s="29"/>
    </row>
    <row r="15" spans="1:9" s="1" customFormat="1" ht="30" customHeight="1">
      <c r="A15" s="11">
        <v>13</v>
      </c>
      <c r="B15" s="12">
        <v>46126</v>
      </c>
      <c r="C15" s="20" t="s">
        <v>623</v>
      </c>
      <c r="D15" s="21" t="s">
        <v>680</v>
      </c>
      <c r="E15" s="22" t="s">
        <v>23</v>
      </c>
      <c r="F15" s="23">
        <v>500</v>
      </c>
      <c r="G15" s="24"/>
      <c r="H15" s="28"/>
      <c r="I15" s="29"/>
    </row>
    <row r="16" spans="1:9" s="1" customFormat="1" ht="30" customHeight="1">
      <c r="A16" s="11">
        <v>14</v>
      </c>
      <c r="B16" s="12">
        <v>46127</v>
      </c>
      <c r="C16" s="20" t="s">
        <v>473</v>
      </c>
      <c r="D16" s="21" t="s">
        <v>620</v>
      </c>
      <c r="E16" s="22" t="s">
        <v>46</v>
      </c>
      <c r="F16" s="23">
        <v>2</v>
      </c>
      <c r="G16" s="24"/>
      <c r="H16" s="28"/>
      <c r="I16" s="29" t="s">
        <v>622</v>
      </c>
    </row>
    <row r="17" spans="1:9" s="1" customFormat="1" ht="30" customHeight="1">
      <c r="A17" s="11">
        <v>15</v>
      </c>
      <c r="B17" s="12">
        <v>46128</v>
      </c>
      <c r="C17" s="20" t="s">
        <v>653</v>
      </c>
      <c r="D17" s="50" t="s">
        <v>672</v>
      </c>
      <c r="E17" s="22" t="s">
        <v>23</v>
      </c>
      <c r="F17" s="23">
        <v>60</v>
      </c>
      <c r="G17" s="24"/>
      <c r="H17" s="28"/>
      <c r="I17" s="29"/>
    </row>
    <row r="18" spans="1:9" s="1" customFormat="1" ht="30" customHeight="1">
      <c r="A18" s="11">
        <v>16</v>
      </c>
      <c r="B18" s="12">
        <v>46134</v>
      </c>
      <c r="C18" s="20" t="s">
        <v>676</v>
      </c>
      <c r="D18" s="21" t="s">
        <v>681</v>
      </c>
      <c r="E18" s="22" t="s">
        <v>128</v>
      </c>
      <c r="F18" s="23">
        <v>4800</v>
      </c>
      <c r="G18" s="24"/>
      <c r="H18" s="28"/>
      <c r="I18" s="29"/>
    </row>
    <row r="19" spans="1:9" s="1" customFormat="1" ht="30" customHeight="1">
      <c r="A19" s="11">
        <v>17</v>
      </c>
      <c r="B19" s="12">
        <v>46134</v>
      </c>
      <c r="C19" s="20" t="s">
        <v>634</v>
      </c>
      <c r="D19" s="50"/>
      <c r="E19" s="22" t="s">
        <v>23</v>
      </c>
      <c r="F19" s="23">
        <v>30</v>
      </c>
      <c r="G19" s="24"/>
      <c r="H19" s="28"/>
      <c r="I19" s="29"/>
    </row>
    <row r="20" spans="1:9" s="1" customFormat="1" ht="30" customHeight="1">
      <c r="A20" s="11">
        <v>18</v>
      </c>
      <c r="B20" s="12">
        <v>46142</v>
      </c>
      <c r="C20" s="20" t="s">
        <v>682</v>
      </c>
      <c r="D20" s="21"/>
      <c r="E20" s="22" t="s">
        <v>23</v>
      </c>
      <c r="F20" s="23">
        <v>10</v>
      </c>
      <c r="G20" s="24"/>
      <c r="H20" s="28"/>
      <c r="I20" s="29"/>
    </row>
    <row r="21" spans="1:9" s="1" customFormat="1" ht="30" customHeight="1">
      <c r="A21" s="11">
        <v>19</v>
      </c>
      <c r="B21" s="12">
        <v>46142</v>
      </c>
      <c r="C21" s="20" t="s">
        <v>683</v>
      </c>
      <c r="D21" s="21"/>
      <c r="E21" s="22" t="s">
        <v>23</v>
      </c>
      <c r="F21" s="23">
        <v>140</v>
      </c>
      <c r="G21" s="24"/>
      <c r="H21" s="28"/>
      <c r="I21" s="29"/>
    </row>
    <row r="22" spans="1:9" s="1" customFormat="1" ht="30" customHeight="1">
      <c r="A22" s="11">
        <v>20</v>
      </c>
      <c r="B22" s="12">
        <v>46150</v>
      </c>
      <c r="C22" s="20" t="s">
        <v>653</v>
      </c>
      <c r="D22" s="21" t="s">
        <v>684</v>
      </c>
      <c r="E22" s="22" t="s">
        <v>23</v>
      </c>
      <c r="F22" s="23">
        <v>100</v>
      </c>
      <c r="G22" s="24" t="s">
        <v>685</v>
      </c>
      <c r="H22" s="28"/>
      <c r="I22" s="29"/>
    </row>
    <row r="23" spans="1:9" s="1" customFormat="1" ht="30" customHeight="1">
      <c r="A23" s="11">
        <v>21</v>
      </c>
      <c r="B23" s="12">
        <v>46156</v>
      </c>
      <c r="C23" s="20" t="s">
        <v>653</v>
      </c>
      <c r="D23" s="50" t="s">
        <v>672</v>
      </c>
      <c r="E23" s="22" t="s">
        <v>23</v>
      </c>
      <c r="F23" s="23">
        <v>120</v>
      </c>
      <c r="G23" s="24"/>
      <c r="H23" s="28"/>
      <c r="I23" s="29"/>
    </row>
    <row r="24" spans="1:9" s="1" customFormat="1" ht="30" customHeight="1">
      <c r="A24" s="11">
        <v>22</v>
      </c>
      <c r="B24" s="12">
        <v>46156</v>
      </c>
      <c r="C24" s="20" t="s">
        <v>634</v>
      </c>
      <c r="D24" s="50"/>
      <c r="E24" s="22" t="s">
        <v>23</v>
      </c>
      <c r="F24" s="23">
        <v>50</v>
      </c>
      <c r="G24" s="24"/>
      <c r="H24" s="28"/>
      <c r="I24" s="29"/>
    </row>
    <row r="25" spans="1:9" s="1" customFormat="1" ht="30" customHeight="1">
      <c r="A25" s="11">
        <v>23</v>
      </c>
      <c r="B25" s="12">
        <v>46126</v>
      </c>
      <c r="C25" s="20" t="s">
        <v>634</v>
      </c>
      <c r="D25" s="50" t="s">
        <v>635</v>
      </c>
      <c r="E25" s="22" t="s">
        <v>23</v>
      </c>
      <c r="F25" s="23">
        <v>6</v>
      </c>
      <c r="G25" s="24" t="s">
        <v>686</v>
      </c>
      <c r="H25" s="28"/>
      <c r="I25" s="29" t="s">
        <v>687</v>
      </c>
    </row>
    <row r="26" spans="1:9" s="1" customFormat="1" ht="30" customHeight="1">
      <c r="A26" s="11">
        <v>24</v>
      </c>
      <c r="B26" s="12">
        <v>46126</v>
      </c>
      <c r="C26" s="20" t="s">
        <v>623</v>
      </c>
      <c r="D26" s="21" t="s">
        <v>636</v>
      </c>
      <c r="E26" s="22" t="s">
        <v>23</v>
      </c>
      <c r="F26" s="23">
        <v>18</v>
      </c>
      <c r="G26" s="24" t="s">
        <v>686</v>
      </c>
      <c r="H26" s="28"/>
      <c r="I26" s="29" t="s">
        <v>687</v>
      </c>
    </row>
    <row r="27" spans="1:9" s="1" customFormat="1" ht="30" customHeight="1">
      <c r="A27" s="11">
        <v>25</v>
      </c>
      <c r="B27" s="12">
        <v>46126</v>
      </c>
      <c r="C27" s="20" t="s">
        <v>577</v>
      </c>
      <c r="D27" s="21" t="s">
        <v>578</v>
      </c>
      <c r="E27" s="22" t="s">
        <v>128</v>
      </c>
      <c r="F27" s="23">
        <v>190</v>
      </c>
      <c r="G27" s="24" t="s">
        <v>686</v>
      </c>
      <c r="H27" s="28"/>
      <c r="I27" s="29" t="s">
        <v>687</v>
      </c>
    </row>
    <row r="28" spans="1:9" s="1" customFormat="1" ht="30" customHeight="1">
      <c r="A28" s="11">
        <v>26</v>
      </c>
      <c r="B28" s="12">
        <v>46126</v>
      </c>
      <c r="C28" s="20" t="s">
        <v>630</v>
      </c>
      <c r="D28" s="21" t="s">
        <v>631</v>
      </c>
      <c r="E28" s="22" t="s">
        <v>66</v>
      </c>
      <c r="F28" s="23">
        <v>380</v>
      </c>
      <c r="G28" s="24" t="s">
        <v>686</v>
      </c>
      <c r="H28" s="28"/>
      <c r="I28" s="29" t="s">
        <v>687</v>
      </c>
    </row>
    <row r="29" spans="1:9" s="1" customFormat="1" ht="30" customHeight="1">
      <c r="A29" s="11">
        <v>27</v>
      </c>
      <c r="B29" s="12">
        <v>46126</v>
      </c>
      <c r="C29" s="20" t="s">
        <v>630</v>
      </c>
      <c r="D29" s="21" t="s">
        <v>632</v>
      </c>
      <c r="E29" s="22" t="s">
        <v>66</v>
      </c>
      <c r="F29" s="23">
        <v>380</v>
      </c>
      <c r="G29" s="24" t="s">
        <v>686</v>
      </c>
      <c r="H29" s="28"/>
      <c r="I29" s="29" t="s">
        <v>687</v>
      </c>
    </row>
    <row r="30" spans="1:9" s="1" customFormat="1" ht="30" customHeight="1">
      <c r="A30" s="11">
        <v>28</v>
      </c>
      <c r="B30" s="12">
        <v>46126</v>
      </c>
      <c r="C30" s="20" t="s">
        <v>630</v>
      </c>
      <c r="D30" s="21" t="s">
        <v>633</v>
      </c>
      <c r="E30" s="22" t="s">
        <v>66</v>
      </c>
      <c r="F30" s="23">
        <v>380</v>
      </c>
      <c r="G30" s="24" t="s">
        <v>686</v>
      </c>
      <c r="H30" s="28"/>
      <c r="I30" s="29" t="s">
        <v>687</v>
      </c>
    </row>
    <row r="31" spans="1:9" s="1" customFormat="1" ht="30" customHeight="1">
      <c r="A31" s="11">
        <v>29</v>
      </c>
      <c r="B31" s="12">
        <v>46157</v>
      </c>
      <c r="C31" s="20" t="s">
        <v>688</v>
      </c>
      <c r="D31" s="21"/>
      <c r="E31" s="22" t="s">
        <v>689</v>
      </c>
      <c r="F31" s="23">
        <v>3</v>
      </c>
      <c r="G31" s="24"/>
      <c r="H31" s="28"/>
      <c r="I31" s="29" t="s">
        <v>690</v>
      </c>
    </row>
    <row r="32" spans="1:9" s="1" customFormat="1" ht="30" customHeight="1">
      <c r="A32" s="11">
        <v>30</v>
      </c>
      <c r="B32" s="12">
        <v>46157</v>
      </c>
      <c r="C32" s="20" t="s">
        <v>691</v>
      </c>
      <c r="D32" s="21"/>
      <c r="E32" s="22" t="s">
        <v>66</v>
      </c>
      <c r="F32" s="23">
        <v>2</v>
      </c>
      <c r="G32" s="24"/>
      <c r="H32" s="28"/>
      <c r="I32" s="29" t="s">
        <v>690</v>
      </c>
    </row>
    <row r="33" spans="1:9" s="1" customFormat="1" ht="30" customHeight="1">
      <c r="A33" s="11">
        <v>31</v>
      </c>
      <c r="B33" s="12">
        <v>46167</v>
      </c>
      <c r="C33" s="20" t="s">
        <v>577</v>
      </c>
      <c r="D33" s="21" t="s">
        <v>578</v>
      </c>
      <c r="E33" s="22" t="s">
        <v>128</v>
      </c>
      <c r="F33" s="23">
        <v>250</v>
      </c>
      <c r="G33" s="51"/>
      <c r="H33" s="28"/>
      <c r="I33" s="29" t="s">
        <v>692</v>
      </c>
    </row>
    <row r="34" spans="1:9" s="1" customFormat="1" ht="30" customHeight="1">
      <c r="A34" s="11"/>
      <c r="B34" s="12"/>
      <c r="C34" s="20"/>
      <c r="D34" s="21"/>
      <c r="E34" s="22"/>
      <c r="F34" s="23"/>
      <c r="G34" s="24"/>
      <c r="H34" s="28"/>
      <c r="I34" s="29"/>
    </row>
    <row r="35" spans="1:9" s="1" customFormat="1" ht="30" customHeight="1">
      <c r="A35" s="11"/>
      <c r="B35" s="12"/>
      <c r="C35" s="20"/>
      <c r="D35" s="21"/>
      <c r="E35" s="22"/>
      <c r="F35" s="23"/>
      <c r="G35" s="24"/>
      <c r="H35" s="28"/>
      <c r="I35" s="29"/>
    </row>
    <row r="36" spans="1:9" s="1" customFormat="1" ht="30" customHeight="1">
      <c r="A36" s="11"/>
      <c r="B36" s="12"/>
      <c r="C36" s="20"/>
      <c r="D36" s="21"/>
      <c r="E36" s="22"/>
      <c r="F36" s="23"/>
      <c r="G36" s="24"/>
      <c r="H36" s="28"/>
      <c r="I36" s="29"/>
    </row>
    <row r="37" spans="1:9" s="1" customFormat="1" ht="30" customHeight="1">
      <c r="A37" s="11"/>
      <c r="B37" s="12"/>
      <c r="C37" s="20"/>
      <c r="D37" s="21"/>
      <c r="E37" s="22"/>
      <c r="F37" s="23"/>
      <c r="G37" s="24"/>
      <c r="H37" s="28"/>
      <c r="I37" s="29"/>
    </row>
    <row r="38" spans="1:9" s="1" customFormat="1" ht="30" customHeight="1">
      <c r="A38" s="11"/>
      <c r="B38" s="12"/>
      <c r="C38" s="20"/>
      <c r="D38" s="21"/>
      <c r="E38" s="22"/>
      <c r="F38" s="23"/>
      <c r="G38" s="24"/>
      <c r="H38" s="28"/>
      <c r="I38" s="29"/>
    </row>
    <row r="39" spans="1:9" s="1" customFormat="1" ht="30" customHeight="1">
      <c r="A39" s="11"/>
      <c r="B39" s="12"/>
      <c r="C39" s="20"/>
      <c r="D39" s="21"/>
      <c r="E39" s="22"/>
      <c r="F39" s="23"/>
      <c r="G39" s="24"/>
      <c r="H39" s="28"/>
      <c r="I39" s="29"/>
    </row>
    <row r="40" spans="1:9" s="1" customFormat="1" ht="30" customHeight="1">
      <c r="A40" s="11"/>
      <c r="B40" s="12"/>
      <c r="C40" s="20"/>
      <c r="D40" s="21"/>
      <c r="E40" s="22"/>
      <c r="F40" s="23"/>
      <c r="G40" s="24"/>
      <c r="H40" s="28"/>
      <c r="I40" s="29"/>
    </row>
    <row r="41" spans="1:9" s="1" customFormat="1" ht="30" customHeight="1">
      <c r="A41" s="11"/>
      <c r="B41" s="12"/>
      <c r="C41" s="20"/>
      <c r="D41" s="21"/>
      <c r="E41" s="22"/>
      <c r="F41" s="23"/>
      <c r="G41" s="24"/>
      <c r="H41" s="28"/>
      <c r="I41" s="29"/>
    </row>
    <row r="42" spans="1:9" s="1" customFormat="1" ht="30" customHeight="1">
      <c r="A42" s="11"/>
      <c r="B42" s="12"/>
      <c r="C42" s="20"/>
      <c r="D42" s="21"/>
      <c r="E42" s="22"/>
      <c r="F42" s="23"/>
      <c r="G42" s="24"/>
      <c r="H42" s="28"/>
      <c r="I42" s="29"/>
    </row>
    <row r="43" spans="1:9" s="1" customFormat="1" ht="30" customHeight="1">
      <c r="A43" s="11"/>
      <c r="B43" s="12"/>
      <c r="C43" s="20"/>
      <c r="D43" s="21"/>
      <c r="E43" s="22"/>
      <c r="F43" s="23"/>
      <c r="G43" s="24"/>
      <c r="H43" s="28"/>
      <c r="I43" s="29"/>
    </row>
    <row r="44" spans="1:9" s="1" customFormat="1" ht="30" customHeight="1">
      <c r="A44" s="11"/>
      <c r="B44" s="12"/>
      <c r="C44" s="20"/>
      <c r="D44" s="21"/>
      <c r="E44" s="22"/>
      <c r="F44" s="23"/>
      <c r="G44" s="24"/>
      <c r="H44" s="28"/>
      <c r="I44" s="29"/>
    </row>
    <row r="45" spans="1:9" s="1" customFormat="1" ht="30" customHeight="1">
      <c r="A45" s="11"/>
      <c r="B45" s="12"/>
      <c r="C45" s="20"/>
      <c r="D45" s="21"/>
      <c r="E45" s="22"/>
      <c r="F45" s="23"/>
      <c r="G45" s="24"/>
      <c r="H45" s="28"/>
      <c r="I45" s="29"/>
    </row>
    <row r="46" spans="1:9" s="1" customFormat="1" ht="30" customHeight="1">
      <c r="A46" s="11"/>
      <c r="B46" s="12"/>
      <c r="C46" s="20"/>
      <c r="D46" s="21"/>
      <c r="E46" s="22"/>
      <c r="F46" s="23"/>
      <c r="G46" s="24"/>
      <c r="H46" s="28"/>
      <c r="I46" s="29"/>
    </row>
  </sheetData>
  <autoFilter ref="A2:H36" xr:uid="{00000000-0009-0000-0000-000002000000}">
    <sortState xmlns:xlrd2="http://schemas.microsoft.com/office/spreadsheetml/2017/richdata2" ref="A2:H36">
      <sortCondition ref="B2:B26"/>
    </sortState>
  </autoFilter>
  <phoneticPr fontId="44" type="noConversion"/>
  <pageMargins left="0.69930555555555596" right="0.69930555555555596" top="0.75" bottom="0.75" header="0.3" footer="0.3"/>
  <pageSetup paperSize="9" scale="5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Z27"/>
  <sheetViews>
    <sheetView zoomScale="85" zoomScaleNormal="85" workbookViewId="0">
      <pane ySplit="2" topLeftCell="A3" activePane="bottomLeft" state="frozen"/>
      <selection pane="bottomLeft" activeCell="A28" sqref="A28:XFD42"/>
    </sheetView>
  </sheetViews>
  <sheetFormatPr defaultColWidth="9" defaultRowHeight="16.5"/>
  <cols>
    <col min="1" max="1" width="6.875" style="3" customWidth="1"/>
    <col min="2" max="2" width="6.875" style="30" customWidth="1"/>
    <col min="3" max="3" width="15.125" style="31" customWidth="1"/>
    <col min="4" max="4" width="12.875" style="31" customWidth="1"/>
    <col min="5" max="5" width="10.5" style="32" customWidth="1"/>
    <col min="6" max="6" width="18.375" style="31" customWidth="1"/>
    <col min="7" max="7" width="32.5" style="33" customWidth="1"/>
    <col min="8" max="8" width="30" style="33" customWidth="1"/>
    <col min="9" max="9" width="4.875" style="3" customWidth="1"/>
    <col min="10" max="10" width="8.125" style="34" customWidth="1"/>
    <col min="11" max="11" width="20.625" style="3" customWidth="1"/>
    <col min="12" max="12" width="17.75" style="3" customWidth="1"/>
    <col min="13" max="16380" width="9" style="3"/>
    <col min="16381" max="16384" width="9" style="35"/>
  </cols>
  <sheetData>
    <row r="1" spans="1:12" s="1" customFormat="1" ht="30" customHeight="1">
      <c r="A1" s="36" t="s">
        <v>693</v>
      </c>
      <c r="B1" s="2"/>
      <c r="C1" s="37"/>
      <c r="D1" s="37"/>
      <c r="E1" s="38"/>
      <c r="F1" s="37"/>
      <c r="G1" s="5"/>
      <c r="H1" s="5"/>
      <c r="J1" s="44"/>
    </row>
    <row r="2" spans="1:12" s="2" customFormat="1" ht="15.75">
      <c r="A2" s="7" t="s">
        <v>1</v>
      </c>
      <c r="B2" s="9" t="s">
        <v>2</v>
      </c>
      <c r="C2" s="8" t="s">
        <v>3</v>
      </c>
      <c r="D2" s="8" t="s">
        <v>4</v>
      </c>
      <c r="E2" s="39" t="s">
        <v>5</v>
      </c>
      <c r="F2" s="8" t="s">
        <v>6</v>
      </c>
      <c r="G2" s="9" t="s">
        <v>8</v>
      </c>
      <c r="H2" s="9" t="s">
        <v>9</v>
      </c>
      <c r="I2" s="9" t="s">
        <v>10</v>
      </c>
      <c r="J2" s="10" t="s">
        <v>11</v>
      </c>
      <c r="K2" s="9" t="s">
        <v>17</v>
      </c>
      <c r="L2" s="9" t="s">
        <v>558</v>
      </c>
    </row>
    <row r="3" spans="1:12" s="3" customFormat="1" ht="30" customHeight="1">
      <c r="A3" s="11">
        <v>1</v>
      </c>
      <c r="B3" s="40" t="s">
        <v>19</v>
      </c>
      <c r="C3" s="26">
        <v>46153</v>
      </c>
      <c r="D3" s="12" t="s">
        <v>694</v>
      </c>
      <c r="E3" s="41" t="s">
        <v>695</v>
      </c>
      <c r="F3" s="12" t="s">
        <v>696</v>
      </c>
      <c r="G3" s="13" t="s">
        <v>697</v>
      </c>
      <c r="H3" s="14" t="s">
        <v>698</v>
      </c>
      <c r="I3" s="15" t="s">
        <v>699</v>
      </c>
      <c r="J3" s="45">
        <v>1</v>
      </c>
      <c r="K3" s="17" t="s">
        <v>700</v>
      </c>
      <c r="L3" s="27" t="s">
        <v>701</v>
      </c>
    </row>
    <row r="4" spans="1:12" s="3" customFormat="1" ht="30" customHeight="1">
      <c r="A4" s="11">
        <v>2</v>
      </c>
      <c r="B4" s="40" t="s">
        <v>19</v>
      </c>
      <c r="C4" s="26">
        <v>46153</v>
      </c>
      <c r="D4" s="12" t="s">
        <v>369</v>
      </c>
      <c r="E4" s="41">
        <v>46142</v>
      </c>
      <c r="F4" s="12" t="s">
        <v>702</v>
      </c>
      <c r="G4" s="13" t="s">
        <v>703</v>
      </c>
      <c r="H4" s="14" t="s">
        <v>704</v>
      </c>
      <c r="I4" s="15" t="s">
        <v>34</v>
      </c>
      <c r="J4" s="45">
        <v>2</v>
      </c>
      <c r="K4" s="17" t="s">
        <v>705</v>
      </c>
      <c r="L4" s="27" t="s">
        <v>701</v>
      </c>
    </row>
    <row r="5" spans="1:12" s="3" customFormat="1" ht="30" customHeight="1">
      <c r="A5" s="11">
        <v>3</v>
      </c>
      <c r="B5" s="40" t="s">
        <v>19</v>
      </c>
      <c r="C5" s="26">
        <v>46153</v>
      </c>
      <c r="D5" s="12" t="s">
        <v>706</v>
      </c>
      <c r="E5" s="41">
        <v>46142</v>
      </c>
      <c r="F5" s="12">
        <v>46145</v>
      </c>
      <c r="G5" s="13" t="s">
        <v>707</v>
      </c>
      <c r="H5" s="14" t="s">
        <v>708</v>
      </c>
      <c r="I5" s="15" t="s">
        <v>155</v>
      </c>
      <c r="J5" s="45">
        <v>8</v>
      </c>
      <c r="K5" s="17" t="s">
        <v>709</v>
      </c>
      <c r="L5" s="27" t="s">
        <v>701</v>
      </c>
    </row>
    <row r="6" spans="1:12" s="3" customFormat="1" ht="30" customHeight="1">
      <c r="A6" s="11">
        <v>4</v>
      </c>
      <c r="B6" s="40" t="s">
        <v>19</v>
      </c>
      <c r="C6" s="26">
        <v>46153</v>
      </c>
      <c r="D6" s="12" t="s">
        <v>710</v>
      </c>
      <c r="E6" s="41">
        <v>46142</v>
      </c>
      <c r="F6" s="12">
        <v>46153</v>
      </c>
      <c r="G6" s="13" t="s">
        <v>711</v>
      </c>
      <c r="H6" s="14" t="s">
        <v>712</v>
      </c>
      <c r="I6" s="15" t="s">
        <v>155</v>
      </c>
      <c r="J6" s="45">
        <v>2</v>
      </c>
      <c r="K6" s="17" t="s">
        <v>705</v>
      </c>
      <c r="L6" s="27" t="s">
        <v>701</v>
      </c>
    </row>
    <row r="7" spans="1:12" s="3" customFormat="1" ht="30" customHeight="1">
      <c r="A7" s="11">
        <v>5</v>
      </c>
      <c r="B7" s="40" t="s">
        <v>19</v>
      </c>
      <c r="C7" s="26">
        <v>46153</v>
      </c>
      <c r="D7" s="12" t="s">
        <v>706</v>
      </c>
      <c r="E7" s="41">
        <v>46142</v>
      </c>
      <c r="F7" s="12">
        <v>46145</v>
      </c>
      <c r="G7" s="13" t="s">
        <v>713</v>
      </c>
      <c r="H7" s="18" t="s">
        <v>714</v>
      </c>
      <c r="I7" s="15" t="s">
        <v>715</v>
      </c>
      <c r="J7" s="45">
        <v>1</v>
      </c>
      <c r="K7" s="17" t="s">
        <v>709</v>
      </c>
      <c r="L7" s="27" t="s">
        <v>701</v>
      </c>
    </row>
    <row r="8" spans="1:12" s="3" customFormat="1" ht="30" customHeight="1">
      <c r="A8" s="11">
        <v>6</v>
      </c>
      <c r="B8" s="40" t="s">
        <v>19</v>
      </c>
      <c r="C8" s="26">
        <v>46153</v>
      </c>
      <c r="D8" s="12" t="s">
        <v>369</v>
      </c>
      <c r="E8" s="41">
        <v>46142</v>
      </c>
      <c r="F8" s="12" t="s">
        <v>716</v>
      </c>
      <c r="G8" s="13" t="s">
        <v>717</v>
      </c>
      <c r="H8" s="18" t="s">
        <v>718</v>
      </c>
      <c r="I8" s="15" t="s">
        <v>155</v>
      </c>
      <c r="J8" s="45">
        <v>2</v>
      </c>
      <c r="K8" s="17" t="s">
        <v>705</v>
      </c>
      <c r="L8" s="27" t="s">
        <v>701</v>
      </c>
    </row>
    <row r="9" spans="1:12" s="3" customFormat="1" ht="30" customHeight="1">
      <c r="A9" s="11">
        <v>7</v>
      </c>
      <c r="B9" s="40" t="s">
        <v>19</v>
      </c>
      <c r="C9" s="26">
        <v>46153</v>
      </c>
      <c r="D9" s="12" t="s">
        <v>39</v>
      </c>
      <c r="E9" s="41" t="s">
        <v>719</v>
      </c>
      <c r="F9" s="12" t="s">
        <v>720</v>
      </c>
      <c r="G9" s="13" t="s">
        <v>721</v>
      </c>
      <c r="H9" s="18" t="s">
        <v>722</v>
      </c>
      <c r="I9" s="15" t="s">
        <v>34</v>
      </c>
      <c r="J9" s="45">
        <v>2</v>
      </c>
      <c r="K9" s="46" t="s">
        <v>723</v>
      </c>
      <c r="L9" s="27" t="s">
        <v>701</v>
      </c>
    </row>
    <row r="10" spans="1:12" s="3" customFormat="1" ht="30" customHeight="1">
      <c r="A10" s="11">
        <v>8</v>
      </c>
      <c r="B10" s="40" t="s">
        <v>19</v>
      </c>
      <c r="C10" s="26">
        <v>46153</v>
      </c>
      <c r="D10" s="12" t="s">
        <v>724</v>
      </c>
      <c r="E10" s="41">
        <v>46146</v>
      </c>
      <c r="F10" s="12">
        <v>46148</v>
      </c>
      <c r="G10" s="13" t="s">
        <v>725</v>
      </c>
      <c r="H10" s="18" t="s">
        <v>726</v>
      </c>
      <c r="I10" s="15" t="s">
        <v>699</v>
      </c>
      <c r="J10" s="45">
        <v>4</v>
      </c>
      <c r="K10" s="17" t="s">
        <v>709</v>
      </c>
      <c r="L10" s="27" t="s">
        <v>701</v>
      </c>
    </row>
    <row r="11" spans="1:12" s="3" customFormat="1" ht="30" customHeight="1">
      <c r="A11" s="11">
        <v>9</v>
      </c>
      <c r="B11" s="40" t="s">
        <v>19</v>
      </c>
      <c r="C11" s="26">
        <v>46153</v>
      </c>
      <c r="D11" s="48" t="s">
        <v>727</v>
      </c>
      <c r="E11" s="41">
        <v>46146</v>
      </c>
      <c r="F11" s="12" t="s">
        <v>728</v>
      </c>
      <c r="G11" s="13" t="s">
        <v>729</v>
      </c>
      <c r="H11" s="18" t="s">
        <v>730</v>
      </c>
      <c r="I11" s="15" t="s">
        <v>34</v>
      </c>
      <c r="J11" s="45">
        <v>2</v>
      </c>
      <c r="K11" s="49" t="s">
        <v>731</v>
      </c>
      <c r="L11" s="27" t="s">
        <v>701</v>
      </c>
    </row>
    <row r="12" spans="1:12" s="3" customFormat="1" ht="30" customHeight="1">
      <c r="A12" s="11">
        <v>10</v>
      </c>
      <c r="B12" s="40" t="s">
        <v>19</v>
      </c>
      <c r="C12" s="26">
        <v>46153</v>
      </c>
      <c r="D12" s="12" t="s">
        <v>732</v>
      </c>
      <c r="E12" s="41">
        <v>46146</v>
      </c>
      <c r="F12" s="12" t="s">
        <v>733</v>
      </c>
      <c r="G12" s="13" t="s">
        <v>734</v>
      </c>
      <c r="H12" s="18" t="s">
        <v>735</v>
      </c>
      <c r="I12" s="15" t="s">
        <v>715</v>
      </c>
      <c r="J12" s="45">
        <v>2</v>
      </c>
      <c r="K12" s="49" t="s">
        <v>731</v>
      </c>
      <c r="L12" s="27" t="s">
        <v>701</v>
      </c>
    </row>
    <row r="13" spans="1:12" s="3" customFormat="1" ht="30" customHeight="1">
      <c r="A13" s="11">
        <v>11</v>
      </c>
      <c r="B13" s="40" t="s">
        <v>19</v>
      </c>
      <c r="C13" s="26">
        <v>46153</v>
      </c>
      <c r="D13" s="26" t="s">
        <v>736</v>
      </c>
      <c r="E13" s="41">
        <v>46148</v>
      </c>
      <c r="F13" s="12" t="s">
        <v>737</v>
      </c>
      <c r="G13" s="13" t="s">
        <v>738</v>
      </c>
      <c r="H13" s="18" t="s">
        <v>739</v>
      </c>
      <c r="I13" s="15" t="s">
        <v>740</v>
      </c>
      <c r="J13" s="45">
        <v>5</v>
      </c>
      <c r="K13" s="46" t="s">
        <v>741</v>
      </c>
      <c r="L13" s="27" t="s">
        <v>701</v>
      </c>
    </row>
    <row r="14" spans="1:12" s="3" customFormat="1" ht="30" customHeight="1">
      <c r="A14" s="11">
        <v>12</v>
      </c>
      <c r="B14" s="40" t="s">
        <v>19</v>
      </c>
      <c r="C14" s="26">
        <v>46153</v>
      </c>
      <c r="D14" s="12" t="s">
        <v>39</v>
      </c>
      <c r="E14" s="41" t="s">
        <v>719</v>
      </c>
      <c r="F14" s="12" t="s">
        <v>720</v>
      </c>
      <c r="G14" s="13" t="s">
        <v>742</v>
      </c>
      <c r="H14" s="18" t="s">
        <v>743</v>
      </c>
      <c r="I14" s="15" t="s">
        <v>42</v>
      </c>
      <c r="J14" s="45">
        <v>2</v>
      </c>
      <c r="K14" s="46" t="s">
        <v>723</v>
      </c>
      <c r="L14" s="27" t="s">
        <v>701</v>
      </c>
    </row>
    <row r="15" spans="1:12" s="3" customFormat="1" ht="30" customHeight="1">
      <c r="A15" s="11">
        <v>13</v>
      </c>
      <c r="B15" s="40" t="s">
        <v>19</v>
      </c>
      <c r="C15" s="26">
        <v>46153</v>
      </c>
      <c r="D15" s="12" t="s">
        <v>39</v>
      </c>
      <c r="E15" s="41" t="s">
        <v>719</v>
      </c>
      <c r="F15" s="12" t="s">
        <v>720</v>
      </c>
      <c r="G15" s="13" t="s">
        <v>744</v>
      </c>
      <c r="H15" s="18" t="s">
        <v>745</v>
      </c>
      <c r="I15" s="15" t="s">
        <v>42</v>
      </c>
      <c r="J15" s="45">
        <v>1</v>
      </c>
      <c r="K15" s="46" t="s">
        <v>723</v>
      </c>
      <c r="L15" s="27" t="s">
        <v>701</v>
      </c>
    </row>
    <row r="16" spans="1:12" s="3" customFormat="1" ht="30" customHeight="1">
      <c r="A16" s="11">
        <v>14</v>
      </c>
      <c r="B16" s="40" t="s">
        <v>19</v>
      </c>
      <c r="C16" s="26">
        <v>46153</v>
      </c>
      <c r="D16" s="12" t="s">
        <v>39</v>
      </c>
      <c r="E16" s="41" t="s">
        <v>719</v>
      </c>
      <c r="F16" s="12" t="s">
        <v>720</v>
      </c>
      <c r="G16" s="13" t="s">
        <v>746</v>
      </c>
      <c r="H16" s="18" t="s">
        <v>747</v>
      </c>
      <c r="I16" s="15" t="s">
        <v>42</v>
      </c>
      <c r="J16" s="45">
        <v>1</v>
      </c>
      <c r="K16" s="46" t="s">
        <v>723</v>
      </c>
      <c r="L16" s="27" t="s">
        <v>701</v>
      </c>
    </row>
    <row r="17" spans="1:12" s="3" customFormat="1" ht="30" customHeight="1">
      <c r="A17" s="11">
        <v>15</v>
      </c>
      <c r="B17" s="40" t="s">
        <v>19</v>
      </c>
      <c r="C17" s="26">
        <v>46153</v>
      </c>
      <c r="D17" s="12" t="s">
        <v>748</v>
      </c>
      <c r="E17" s="41">
        <v>46148</v>
      </c>
      <c r="F17" s="26" t="s">
        <v>749</v>
      </c>
      <c r="G17" s="13" t="s">
        <v>750</v>
      </c>
      <c r="H17" s="18" t="s">
        <v>751</v>
      </c>
      <c r="I17" s="15" t="s">
        <v>155</v>
      </c>
      <c r="J17" s="45">
        <v>1</v>
      </c>
      <c r="K17" s="17"/>
      <c r="L17" s="27" t="s">
        <v>701</v>
      </c>
    </row>
    <row r="18" spans="1:12" s="3" customFormat="1" ht="30" customHeight="1">
      <c r="A18" s="11">
        <v>16</v>
      </c>
      <c r="B18" s="40" t="s">
        <v>19</v>
      </c>
      <c r="C18" s="26">
        <v>46153</v>
      </c>
      <c r="D18" s="12" t="s">
        <v>39</v>
      </c>
      <c r="E18" s="41" t="s">
        <v>719</v>
      </c>
      <c r="F18" s="12" t="s">
        <v>720</v>
      </c>
      <c r="G18" s="13" t="s">
        <v>752</v>
      </c>
      <c r="H18" s="18" t="s">
        <v>753</v>
      </c>
      <c r="I18" s="15" t="s">
        <v>155</v>
      </c>
      <c r="J18" s="45">
        <v>2</v>
      </c>
      <c r="K18" s="46" t="s">
        <v>723</v>
      </c>
      <c r="L18" s="27" t="s">
        <v>701</v>
      </c>
    </row>
    <row r="19" spans="1:12" s="3" customFormat="1" ht="30" customHeight="1">
      <c r="A19" s="11">
        <v>17</v>
      </c>
      <c r="B19" s="40" t="s">
        <v>19</v>
      </c>
      <c r="C19" s="26">
        <v>46153</v>
      </c>
      <c r="D19" s="12" t="s">
        <v>754</v>
      </c>
      <c r="E19" s="41">
        <v>46142</v>
      </c>
      <c r="F19" s="26" t="s">
        <v>755</v>
      </c>
      <c r="G19" s="13" t="s">
        <v>243</v>
      </c>
      <c r="H19" s="18" t="s">
        <v>756</v>
      </c>
      <c r="I19" s="15" t="s">
        <v>42</v>
      </c>
      <c r="J19" s="45">
        <v>1</v>
      </c>
      <c r="K19" s="17" t="s">
        <v>705</v>
      </c>
      <c r="L19" s="27" t="s">
        <v>701</v>
      </c>
    </row>
    <row r="20" spans="1:12" s="3" customFormat="1" ht="30" customHeight="1">
      <c r="A20" s="11">
        <v>18</v>
      </c>
      <c r="B20" s="40" t="s">
        <v>19</v>
      </c>
      <c r="C20" s="26">
        <v>46153</v>
      </c>
      <c r="D20" s="12" t="s">
        <v>754</v>
      </c>
      <c r="E20" s="41">
        <v>46142</v>
      </c>
      <c r="F20" s="26" t="s">
        <v>757</v>
      </c>
      <c r="G20" s="13" t="s">
        <v>243</v>
      </c>
      <c r="H20" s="18" t="s">
        <v>758</v>
      </c>
      <c r="I20" s="15" t="s">
        <v>42</v>
      </c>
      <c r="J20" s="45">
        <v>1</v>
      </c>
      <c r="K20" s="17" t="s">
        <v>705</v>
      </c>
      <c r="L20" s="27" t="s">
        <v>701</v>
      </c>
    </row>
    <row r="21" spans="1:12" s="3" customFormat="1" ht="30" customHeight="1">
      <c r="A21" s="11">
        <v>19</v>
      </c>
      <c r="B21" s="40" t="s">
        <v>19</v>
      </c>
      <c r="C21" s="26">
        <v>46153</v>
      </c>
      <c r="D21" s="48" t="s">
        <v>369</v>
      </c>
      <c r="E21" s="41">
        <v>46142</v>
      </c>
      <c r="F21" s="26" t="s">
        <v>759</v>
      </c>
      <c r="G21" s="13" t="s">
        <v>760</v>
      </c>
      <c r="H21" s="18" t="s">
        <v>761</v>
      </c>
      <c r="I21" s="15" t="s">
        <v>42</v>
      </c>
      <c r="J21" s="45">
        <v>2</v>
      </c>
      <c r="K21" s="17" t="s">
        <v>705</v>
      </c>
      <c r="L21" s="27" t="s">
        <v>701</v>
      </c>
    </row>
    <row r="22" spans="1:12" s="3" customFormat="1" ht="30" customHeight="1">
      <c r="A22" s="11">
        <v>20</v>
      </c>
      <c r="B22" s="40" t="s">
        <v>19</v>
      </c>
      <c r="C22" s="26">
        <v>46153</v>
      </c>
      <c r="D22" s="12" t="s">
        <v>369</v>
      </c>
      <c r="E22" s="41">
        <v>46142</v>
      </c>
      <c r="F22" s="26" t="s">
        <v>762</v>
      </c>
      <c r="G22" s="13" t="s">
        <v>763</v>
      </c>
      <c r="H22" s="18" t="s">
        <v>764</v>
      </c>
      <c r="I22" s="15" t="s">
        <v>66</v>
      </c>
      <c r="J22" s="45">
        <v>1</v>
      </c>
      <c r="K22" s="17" t="s">
        <v>705</v>
      </c>
      <c r="L22" s="27" t="s">
        <v>701</v>
      </c>
    </row>
    <row r="23" spans="1:12" s="3" customFormat="1" ht="30" customHeight="1">
      <c r="A23" s="11">
        <v>21</v>
      </c>
      <c r="B23" s="40" t="s">
        <v>19</v>
      </c>
      <c r="C23" s="26">
        <v>46153</v>
      </c>
      <c r="D23" s="26" t="s">
        <v>369</v>
      </c>
      <c r="E23" s="41">
        <v>46142</v>
      </c>
      <c r="F23" s="26" t="s">
        <v>765</v>
      </c>
      <c r="G23" s="13" t="s">
        <v>766</v>
      </c>
      <c r="H23" s="18" t="s">
        <v>767</v>
      </c>
      <c r="I23" s="15" t="s">
        <v>66</v>
      </c>
      <c r="J23" s="45">
        <v>1</v>
      </c>
      <c r="K23" s="17" t="s">
        <v>705</v>
      </c>
      <c r="L23" s="27" t="s">
        <v>701</v>
      </c>
    </row>
    <row r="24" spans="1:12" s="3" customFormat="1" ht="30" customHeight="1">
      <c r="A24" s="11">
        <v>22</v>
      </c>
      <c r="B24" s="40" t="s">
        <v>19</v>
      </c>
      <c r="C24" s="26">
        <v>46153</v>
      </c>
      <c r="D24" s="26" t="s">
        <v>369</v>
      </c>
      <c r="E24" s="41">
        <v>46146</v>
      </c>
      <c r="F24" s="12" t="s">
        <v>768</v>
      </c>
      <c r="G24" s="13" t="s">
        <v>769</v>
      </c>
      <c r="H24" s="18" t="s">
        <v>770</v>
      </c>
      <c r="I24" s="15" t="s">
        <v>715</v>
      </c>
      <c r="J24" s="45">
        <v>1</v>
      </c>
      <c r="K24" s="17" t="s">
        <v>705</v>
      </c>
      <c r="L24" s="27" t="s">
        <v>701</v>
      </c>
    </row>
    <row r="25" spans="1:12" s="3" customFormat="1" ht="30" customHeight="1">
      <c r="A25" s="11">
        <v>23</v>
      </c>
      <c r="B25" s="40" t="s">
        <v>19</v>
      </c>
      <c r="C25" s="26">
        <v>46153</v>
      </c>
      <c r="D25" s="12" t="s">
        <v>369</v>
      </c>
      <c r="E25" s="41">
        <v>46142</v>
      </c>
      <c r="F25" s="12" t="s">
        <v>771</v>
      </c>
      <c r="G25" s="13" t="s">
        <v>772</v>
      </c>
      <c r="H25" s="18"/>
      <c r="I25" s="15" t="s">
        <v>143</v>
      </c>
      <c r="J25" s="45">
        <v>1</v>
      </c>
      <c r="K25" s="17" t="s">
        <v>705</v>
      </c>
      <c r="L25" s="27" t="s">
        <v>701</v>
      </c>
    </row>
    <row r="26" spans="1:12" s="3" customFormat="1" ht="30" customHeight="1">
      <c r="A26" s="11">
        <v>24</v>
      </c>
      <c r="B26" s="40" t="s">
        <v>19</v>
      </c>
      <c r="C26" s="26">
        <v>46153</v>
      </c>
      <c r="D26" s="12" t="s">
        <v>609</v>
      </c>
      <c r="E26" s="41">
        <v>46146</v>
      </c>
      <c r="F26" s="12">
        <v>46147</v>
      </c>
      <c r="G26" s="13" t="s">
        <v>253</v>
      </c>
      <c r="H26" s="18"/>
      <c r="I26" s="15" t="s">
        <v>66</v>
      </c>
      <c r="J26" s="45">
        <v>1</v>
      </c>
      <c r="K26" s="49" t="s">
        <v>773</v>
      </c>
      <c r="L26" s="27" t="s">
        <v>701</v>
      </c>
    </row>
    <row r="27" spans="1:12" s="3" customFormat="1" ht="30" customHeight="1">
      <c r="A27" s="11">
        <v>25</v>
      </c>
      <c r="B27" s="40" t="s">
        <v>19</v>
      </c>
      <c r="C27" s="26">
        <v>46153</v>
      </c>
      <c r="D27" s="12" t="s">
        <v>369</v>
      </c>
      <c r="E27" s="41">
        <v>46142</v>
      </c>
      <c r="F27" s="26" t="s">
        <v>774</v>
      </c>
      <c r="G27" s="13" t="s">
        <v>775</v>
      </c>
      <c r="H27" s="18"/>
      <c r="I27" s="15" t="s">
        <v>776</v>
      </c>
      <c r="J27" s="45">
        <v>2</v>
      </c>
      <c r="K27" s="17" t="s">
        <v>705</v>
      </c>
      <c r="L27" s="27" t="s">
        <v>701</v>
      </c>
    </row>
  </sheetData>
  <autoFilter ref="A2:K27" xr:uid="{00000000-0009-0000-0000-000003000000}">
    <sortState xmlns:xlrd2="http://schemas.microsoft.com/office/spreadsheetml/2017/richdata2" ref="A2:K27">
      <sortCondition ref="C2:C28"/>
    </sortState>
  </autoFilter>
  <phoneticPr fontId="44" type="noConversion"/>
  <pageMargins left="0.69930555555555596" right="0.69930555555555596" top="0.75" bottom="0.75" header="0.3" footer="0.3"/>
  <pageSetup paperSize="9" scale="5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C13"/>
  <sheetViews>
    <sheetView zoomScale="85" zoomScaleNormal="85" workbookViewId="0">
      <pane ySplit="2" topLeftCell="A3" activePane="bottomLeft" state="frozen"/>
      <selection pane="bottomLeft" activeCell="K7" sqref="K7"/>
    </sheetView>
  </sheetViews>
  <sheetFormatPr defaultColWidth="9" defaultRowHeight="16.5"/>
  <cols>
    <col min="1" max="1" width="6.875" style="3" customWidth="1"/>
    <col min="2" max="2" width="6.875" style="30" customWidth="1"/>
    <col min="3" max="3" width="15.125" style="31" customWidth="1"/>
    <col min="4" max="4" width="12.875" style="31" customWidth="1"/>
    <col min="5" max="5" width="10.5" style="32" customWidth="1"/>
    <col min="6" max="6" width="18.375" style="31" customWidth="1"/>
    <col min="7" max="7" width="32.5" style="33" customWidth="1"/>
    <col min="8" max="8" width="30" style="33" customWidth="1"/>
    <col min="9" max="9" width="4.875" style="3" customWidth="1"/>
    <col min="10" max="10" width="8.125" style="34" customWidth="1"/>
    <col min="11" max="11" width="24.875" style="3" customWidth="1"/>
    <col min="12" max="12" width="17.75" style="3" customWidth="1"/>
    <col min="13" max="16380" width="9" style="3"/>
    <col min="16381" max="16383" width="9" style="35"/>
  </cols>
  <sheetData>
    <row r="1" spans="1:12 16381:16383" s="1" customFormat="1" ht="30" customHeight="1">
      <c r="A1" s="36" t="s">
        <v>777</v>
      </c>
      <c r="B1" s="2"/>
      <c r="C1" s="37"/>
      <c r="D1" s="37"/>
      <c r="E1" s="38"/>
      <c r="F1" s="37"/>
      <c r="G1" s="5"/>
      <c r="H1" s="5"/>
      <c r="J1" s="44"/>
    </row>
    <row r="2" spans="1:12 16381:16383" s="2" customFormat="1" ht="15.75">
      <c r="A2" s="7" t="s">
        <v>1</v>
      </c>
      <c r="B2" s="9" t="s">
        <v>2</v>
      </c>
      <c r="C2" s="8" t="s">
        <v>3</v>
      </c>
      <c r="D2" s="8" t="s">
        <v>4</v>
      </c>
      <c r="E2" s="39" t="s">
        <v>5</v>
      </c>
      <c r="F2" s="8" t="s">
        <v>6</v>
      </c>
      <c r="G2" s="9" t="s">
        <v>8</v>
      </c>
      <c r="H2" s="9" t="s">
        <v>9</v>
      </c>
      <c r="I2" s="9" t="s">
        <v>10</v>
      </c>
      <c r="J2" s="10" t="s">
        <v>11</v>
      </c>
      <c r="K2" s="9" t="s">
        <v>17</v>
      </c>
      <c r="L2" s="9" t="s">
        <v>558</v>
      </c>
      <c r="XFA2" s="47"/>
      <c r="XFB2" s="47"/>
      <c r="XFC2" s="47"/>
    </row>
    <row r="3" spans="1:12 16381:16383" s="3" customFormat="1" ht="30" customHeight="1">
      <c r="A3" s="11">
        <v>1</v>
      </c>
      <c r="B3" s="40" t="s">
        <v>19</v>
      </c>
      <c r="C3" s="26">
        <v>46168</v>
      </c>
      <c r="D3" s="12" t="s">
        <v>778</v>
      </c>
      <c r="E3" s="41">
        <v>46167</v>
      </c>
      <c r="F3" s="26">
        <v>46168</v>
      </c>
      <c r="G3" s="42" t="s">
        <v>779</v>
      </c>
      <c r="H3" s="18" t="s">
        <v>780</v>
      </c>
      <c r="I3" s="15" t="s">
        <v>567</v>
      </c>
      <c r="J3" s="45">
        <v>6</v>
      </c>
      <c r="K3" s="17"/>
      <c r="L3" s="27" t="s">
        <v>563</v>
      </c>
      <c r="XFA3" s="47"/>
      <c r="XFB3" s="47"/>
      <c r="XFC3" s="47"/>
    </row>
    <row r="4" spans="1:12 16381:16383" s="3" customFormat="1" ht="30" customHeight="1">
      <c r="A4" s="11">
        <v>2</v>
      </c>
      <c r="B4" s="40" t="s">
        <v>19</v>
      </c>
      <c r="C4" s="26">
        <v>46168</v>
      </c>
      <c r="D4" s="12" t="s">
        <v>778</v>
      </c>
      <c r="E4" s="41">
        <v>46167</v>
      </c>
      <c r="F4" s="26">
        <v>46168</v>
      </c>
      <c r="G4" s="42" t="s">
        <v>781</v>
      </c>
      <c r="H4" s="18" t="s">
        <v>782</v>
      </c>
      <c r="I4" s="15" t="s">
        <v>567</v>
      </c>
      <c r="J4" s="45">
        <v>12</v>
      </c>
      <c r="K4" s="17"/>
      <c r="L4" s="27" t="s">
        <v>563</v>
      </c>
      <c r="XFA4" s="47"/>
      <c r="XFB4" s="47"/>
      <c r="XFC4" s="47"/>
    </row>
    <row r="5" spans="1:12 16381:16383" s="3" customFormat="1" ht="30" customHeight="1">
      <c r="A5" s="11">
        <v>3</v>
      </c>
      <c r="B5" s="40" t="s">
        <v>19</v>
      </c>
      <c r="C5" s="26">
        <v>46168</v>
      </c>
      <c r="D5" s="12" t="s">
        <v>778</v>
      </c>
      <c r="E5" s="41">
        <v>46167</v>
      </c>
      <c r="F5" s="26">
        <v>46168</v>
      </c>
      <c r="G5" s="42" t="s">
        <v>783</v>
      </c>
      <c r="H5" s="18" t="s">
        <v>784</v>
      </c>
      <c r="I5" s="15" t="s">
        <v>567</v>
      </c>
      <c r="J5" s="45">
        <v>2</v>
      </c>
      <c r="K5" s="17"/>
      <c r="L5" s="27" t="s">
        <v>563</v>
      </c>
      <c r="XFA5" s="47"/>
      <c r="XFB5" s="47"/>
      <c r="XFC5" s="47"/>
    </row>
    <row r="6" spans="1:12 16381:16383" s="3" customFormat="1" ht="30" customHeight="1">
      <c r="A6" s="11">
        <v>4</v>
      </c>
      <c r="B6" s="40" t="s">
        <v>19</v>
      </c>
      <c r="C6" s="26">
        <v>46168</v>
      </c>
      <c r="D6" s="12" t="s">
        <v>778</v>
      </c>
      <c r="E6" s="41">
        <v>46167</v>
      </c>
      <c r="F6" s="26">
        <v>46168</v>
      </c>
      <c r="G6" s="42" t="s">
        <v>785</v>
      </c>
      <c r="H6" s="18" t="s">
        <v>786</v>
      </c>
      <c r="I6" s="15" t="s">
        <v>567</v>
      </c>
      <c r="J6" s="45">
        <v>1</v>
      </c>
      <c r="K6" s="17"/>
      <c r="L6" s="27" t="s">
        <v>563</v>
      </c>
      <c r="XFA6" s="47"/>
      <c r="XFB6" s="47"/>
      <c r="XFC6" s="47"/>
    </row>
    <row r="7" spans="1:12 16381:16383" s="3" customFormat="1" ht="30" customHeight="1">
      <c r="A7" s="11">
        <v>5</v>
      </c>
      <c r="B7" s="40" t="s">
        <v>19</v>
      </c>
      <c r="C7" s="26">
        <v>46168</v>
      </c>
      <c r="D7" s="12" t="s">
        <v>778</v>
      </c>
      <c r="E7" s="41">
        <v>46167</v>
      </c>
      <c r="F7" s="12" t="s">
        <v>787</v>
      </c>
      <c r="G7" s="13" t="s">
        <v>788</v>
      </c>
      <c r="H7" s="18" t="s">
        <v>789</v>
      </c>
      <c r="I7" s="15" t="s">
        <v>567</v>
      </c>
      <c r="J7" s="45">
        <v>10</v>
      </c>
      <c r="K7" s="17"/>
      <c r="L7" s="27" t="s">
        <v>563</v>
      </c>
      <c r="XFA7" s="47"/>
      <c r="XFB7" s="47"/>
      <c r="XFC7" s="47"/>
    </row>
    <row r="8" spans="1:12 16381:16383" s="3" customFormat="1" ht="30" customHeight="1">
      <c r="A8" s="11">
        <v>6</v>
      </c>
      <c r="B8" s="40"/>
      <c r="C8" s="26"/>
      <c r="D8" s="12" t="s">
        <v>27</v>
      </c>
      <c r="E8" s="41" t="s">
        <v>19</v>
      </c>
      <c r="F8" s="12" t="s">
        <v>790</v>
      </c>
      <c r="G8" s="43" t="s">
        <v>791</v>
      </c>
      <c r="H8" s="18" t="s">
        <v>792</v>
      </c>
      <c r="I8" s="15" t="s">
        <v>567</v>
      </c>
      <c r="J8" s="45">
        <v>1</v>
      </c>
      <c r="K8" s="17" t="s">
        <v>793</v>
      </c>
      <c r="L8" s="27" t="s">
        <v>563</v>
      </c>
      <c r="XFA8" s="35"/>
      <c r="XFB8" s="35"/>
      <c r="XFC8" s="35"/>
    </row>
    <row r="9" spans="1:12 16381:16383" s="3" customFormat="1" ht="30" customHeight="1">
      <c r="A9" s="11">
        <v>7</v>
      </c>
      <c r="B9" s="40"/>
      <c r="C9" s="26"/>
      <c r="D9" s="12" t="s">
        <v>27</v>
      </c>
      <c r="E9" s="41" t="s">
        <v>19</v>
      </c>
      <c r="F9" s="12" t="s">
        <v>790</v>
      </c>
      <c r="G9" s="43" t="s">
        <v>794</v>
      </c>
      <c r="H9" s="18" t="s">
        <v>795</v>
      </c>
      <c r="I9" s="15" t="s">
        <v>567</v>
      </c>
      <c r="J9" s="45">
        <v>1</v>
      </c>
      <c r="K9" s="46" t="s">
        <v>793</v>
      </c>
      <c r="L9" s="27" t="s">
        <v>563</v>
      </c>
      <c r="XFA9" s="35"/>
      <c r="XFB9" s="35"/>
      <c r="XFC9" s="35"/>
    </row>
    <row r="10" spans="1:12 16381:16383" s="3" customFormat="1" ht="30" customHeight="1">
      <c r="A10" s="11">
        <v>8</v>
      </c>
      <c r="B10" s="40" t="s">
        <v>19</v>
      </c>
      <c r="C10" s="26">
        <v>46168</v>
      </c>
      <c r="D10" s="12" t="s">
        <v>778</v>
      </c>
      <c r="E10" s="41">
        <v>46167</v>
      </c>
      <c r="F10" s="26">
        <v>46168</v>
      </c>
      <c r="G10" s="13" t="s">
        <v>796</v>
      </c>
      <c r="H10" s="18" t="s">
        <v>797</v>
      </c>
      <c r="I10" s="15" t="s">
        <v>567</v>
      </c>
      <c r="J10" s="45">
        <v>2</v>
      </c>
      <c r="K10" s="17"/>
      <c r="L10" s="27" t="s">
        <v>563</v>
      </c>
      <c r="XFA10" s="35"/>
      <c r="XFB10" s="35"/>
      <c r="XFC10" s="35"/>
    </row>
    <row r="11" spans="1:12 16381:16383" s="3" customFormat="1" ht="30" customHeight="1">
      <c r="A11" s="11">
        <v>9</v>
      </c>
      <c r="B11" s="40" t="s">
        <v>19</v>
      </c>
      <c r="C11" s="26">
        <v>46168</v>
      </c>
      <c r="D11" s="12" t="s">
        <v>798</v>
      </c>
      <c r="E11" s="41">
        <v>46164</v>
      </c>
      <c r="F11" s="12">
        <v>46168</v>
      </c>
      <c r="G11" s="13" t="s">
        <v>799</v>
      </c>
      <c r="H11" s="18" t="s">
        <v>800</v>
      </c>
      <c r="I11" s="15" t="s">
        <v>46</v>
      </c>
      <c r="J11" s="45">
        <v>4</v>
      </c>
      <c r="K11" s="17" t="s">
        <v>801</v>
      </c>
      <c r="L11" s="27" t="s">
        <v>563</v>
      </c>
      <c r="XFA11" s="35"/>
      <c r="XFB11" s="35"/>
      <c r="XFC11" s="35"/>
    </row>
    <row r="12" spans="1:12 16381:16383" s="3" customFormat="1" ht="30" customHeight="1">
      <c r="A12" s="11">
        <v>10</v>
      </c>
      <c r="B12" s="40"/>
      <c r="C12" s="26"/>
      <c r="D12" s="12"/>
      <c r="E12" s="41"/>
      <c r="F12" s="12"/>
      <c r="G12" s="13" t="s">
        <v>561</v>
      </c>
      <c r="H12" s="18" t="s">
        <v>802</v>
      </c>
      <c r="I12" s="15" t="s">
        <v>46</v>
      </c>
      <c r="J12" s="45">
        <v>20</v>
      </c>
      <c r="K12" s="17"/>
      <c r="L12" s="27" t="s">
        <v>563</v>
      </c>
      <c r="XFA12" s="35"/>
      <c r="XFB12" s="35"/>
      <c r="XFC12" s="35"/>
    </row>
    <row r="13" spans="1:12 16381:16383" s="3" customFormat="1" ht="30" customHeight="1">
      <c r="A13" s="11">
        <v>11</v>
      </c>
      <c r="B13" s="40" t="s">
        <v>19</v>
      </c>
      <c r="C13" s="26">
        <v>46168</v>
      </c>
      <c r="D13" s="12" t="s">
        <v>798</v>
      </c>
      <c r="E13" s="41">
        <v>46164</v>
      </c>
      <c r="F13" s="12">
        <v>46168</v>
      </c>
      <c r="G13" s="13" t="s">
        <v>803</v>
      </c>
      <c r="H13" s="18" t="s">
        <v>804</v>
      </c>
      <c r="I13" s="15" t="s">
        <v>46</v>
      </c>
      <c r="J13" s="45">
        <v>2</v>
      </c>
      <c r="K13" s="17" t="s">
        <v>801</v>
      </c>
      <c r="L13" s="27" t="s">
        <v>563</v>
      </c>
      <c r="XFA13" s="35"/>
      <c r="XFB13" s="35"/>
      <c r="XFC13" s="35"/>
    </row>
  </sheetData>
  <autoFilter ref="A2:K13" xr:uid="{00000000-0009-0000-0000-000004000000}">
    <sortState xmlns:xlrd2="http://schemas.microsoft.com/office/spreadsheetml/2017/richdata2" ref="A2:K13">
      <sortCondition ref="C2:C28"/>
    </sortState>
  </autoFilter>
  <phoneticPr fontId="44" type="noConversion"/>
  <pageMargins left="0.69930555555555596" right="0.69930555555555596" top="0.75" bottom="0.75" header="0.3" footer="0.3"/>
  <pageSetup paperSize="9" scale="5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EX49"/>
  <sheetViews>
    <sheetView zoomScale="80" zoomScaleNormal="80" workbookViewId="0">
      <pane ySplit="2" topLeftCell="A13" activePane="bottomLeft" state="frozen"/>
      <selection pane="bottomLeft" activeCell="G22" sqref="G22"/>
    </sheetView>
  </sheetViews>
  <sheetFormatPr defaultColWidth="9" defaultRowHeight="16.5"/>
  <cols>
    <col min="1" max="1" width="6.875" style="1" customWidth="1"/>
    <col min="2" max="3" width="15.125" style="4" customWidth="1"/>
    <col min="4" max="4" width="32.5" style="5" customWidth="1"/>
    <col min="5" max="5" width="30" style="5" customWidth="1"/>
    <col min="6" max="6" width="4.875" style="1" customWidth="1"/>
    <col min="7" max="7" width="8.125" style="6" customWidth="1"/>
    <col min="8" max="8" width="30.625" style="1" customWidth="1"/>
    <col min="9" max="9" width="15.625" style="4" customWidth="1"/>
    <col min="10" max="10" width="17.75" style="1" customWidth="1"/>
    <col min="11" max="16378" width="9" style="1"/>
  </cols>
  <sheetData>
    <row r="1" spans="1:10" s="1" customFormat="1" ht="30" customHeight="1">
      <c r="A1" s="306" t="s">
        <v>805</v>
      </c>
      <c r="B1" s="306"/>
      <c r="C1" s="306"/>
      <c r="D1" s="306"/>
      <c r="E1" s="306"/>
      <c r="G1" s="6"/>
      <c r="I1" s="4"/>
    </row>
    <row r="2" spans="1:10" s="2" customFormat="1" ht="15.75">
      <c r="A2" s="7" t="s">
        <v>1</v>
      </c>
      <c r="B2" s="8" t="s">
        <v>671</v>
      </c>
      <c r="C2" s="8"/>
      <c r="D2" s="9" t="s">
        <v>8</v>
      </c>
      <c r="E2" s="9" t="s">
        <v>9</v>
      </c>
      <c r="F2" s="9" t="s">
        <v>10</v>
      </c>
      <c r="G2" s="10" t="s">
        <v>11</v>
      </c>
      <c r="H2" s="9" t="s">
        <v>17</v>
      </c>
      <c r="I2" s="25" t="s">
        <v>557</v>
      </c>
      <c r="J2" s="9" t="s">
        <v>806</v>
      </c>
    </row>
    <row r="3" spans="1:10" s="3" customFormat="1" ht="30" customHeight="1">
      <c r="A3" s="11"/>
      <c r="B3" s="12">
        <v>46028</v>
      </c>
      <c r="C3" s="12"/>
      <c r="D3" s="13" t="s">
        <v>561</v>
      </c>
      <c r="E3" s="14" t="s">
        <v>807</v>
      </c>
      <c r="F3" s="15" t="s">
        <v>46</v>
      </c>
      <c r="G3" s="16">
        <v>72</v>
      </c>
      <c r="H3" s="17"/>
      <c r="I3" s="26"/>
      <c r="J3" s="27" t="s">
        <v>808</v>
      </c>
    </row>
    <row r="4" spans="1:10" s="3" customFormat="1" ht="30" customHeight="1">
      <c r="A4" s="11"/>
      <c r="B4" s="12">
        <v>46048</v>
      </c>
      <c r="C4" s="12"/>
      <c r="D4" s="13" t="s">
        <v>809</v>
      </c>
      <c r="E4" s="18" t="s">
        <v>810</v>
      </c>
      <c r="F4" s="15" t="s">
        <v>34</v>
      </c>
      <c r="G4" s="16">
        <v>100</v>
      </c>
      <c r="H4" s="17"/>
      <c r="I4" s="26"/>
      <c r="J4" s="27" t="s">
        <v>811</v>
      </c>
    </row>
    <row r="5" spans="1:10" s="3" customFormat="1" ht="30" customHeight="1">
      <c r="A5" s="11"/>
      <c r="B5" s="12">
        <v>46048</v>
      </c>
      <c r="C5" s="12" t="s">
        <v>812</v>
      </c>
      <c r="D5" s="13" t="s">
        <v>561</v>
      </c>
      <c r="E5" s="14" t="s">
        <v>807</v>
      </c>
      <c r="F5" s="15" t="s">
        <v>46</v>
      </c>
      <c r="G5" s="16">
        <v>20</v>
      </c>
      <c r="H5" s="17"/>
      <c r="I5" s="26"/>
      <c r="J5" s="27" t="s">
        <v>813</v>
      </c>
    </row>
    <row r="6" spans="1:10" s="3" customFormat="1" ht="30" customHeight="1">
      <c r="A6" s="11"/>
      <c r="B6" s="12">
        <v>46050</v>
      </c>
      <c r="C6" s="12"/>
      <c r="D6" s="13" t="s">
        <v>814</v>
      </c>
      <c r="E6" s="14" t="s">
        <v>815</v>
      </c>
      <c r="F6" s="15" t="s">
        <v>128</v>
      </c>
      <c r="G6" s="16">
        <v>900</v>
      </c>
      <c r="H6" s="17"/>
      <c r="I6" s="26"/>
      <c r="J6" s="27" t="s">
        <v>816</v>
      </c>
    </row>
    <row r="7" spans="1:10" s="3" customFormat="1" ht="30" customHeight="1">
      <c r="A7" s="11"/>
      <c r="B7" s="12">
        <v>46050</v>
      </c>
      <c r="C7" s="12"/>
      <c r="D7" s="13" t="s">
        <v>817</v>
      </c>
      <c r="E7" s="14" t="s">
        <v>818</v>
      </c>
      <c r="F7" s="15" t="s">
        <v>128</v>
      </c>
      <c r="G7" s="16">
        <v>960</v>
      </c>
      <c r="H7" s="17"/>
      <c r="I7" s="26"/>
      <c r="J7" s="27" t="s">
        <v>816</v>
      </c>
    </row>
    <row r="8" spans="1:10" s="3" customFormat="1" ht="30" customHeight="1">
      <c r="A8" s="11"/>
      <c r="B8" s="12">
        <v>46050</v>
      </c>
      <c r="C8" s="12"/>
      <c r="D8" s="13" t="s">
        <v>819</v>
      </c>
      <c r="E8" s="18" t="s">
        <v>820</v>
      </c>
      <c r="F8" s="15" t="s">
        <v>66</v>
      </c>
      <c r="G8" s="16">
        <v>1</v>
      </c>
      <c r="H8" s="17"/>
      <c r="I8" s="26"/>
      <c r="J8" s="27" t="s">
        <v>816</v>
      </c>
    </row>
    <row r="9" spans="1:10" s="3" customFormat="1" ht="30" customHeight="1">
      <c r="A9" s="11"/>
      <c r="B9" s="12">
        <v>46050</v>
      </c>
      <c r="C9" s="12"/>
      <c r="D9" s="13" t="s">
        <v>821</v>
      </c>
      <c r="E9" s="14" t="s">
        <v>822</v>
      </c>
      <c r="F9" s="15" t="s">
        <v>147</v>
      </c>
      <c r="G9" s="16">
        <v>1</v>
      </c>
      <c r="H9" s="17"/>
      <c r="I9" s="26"/>
      <c r="J9" s="27" t="s">
        <v>816</v>
      </c>
    </row>
    <row r="10" spans="1:10" s="3" customFormat="1" ht="30" customHeight="1">
      <c r="A10" s="11"/>
      <c r="B10" s="12">
        <v>46050</v>
      </c>
      <c r="C10" s="12"/>
      <c r="D10" s="13" t="s">
        <v>809</v>
      </c>
      <c r="E10" s="18" t="s">
        <v>578</v>
      </c>
      <c r="F10" s="15" t="s">
        <v>128</v>
      </c>
      <c r="G10" s="16">
        <v>450</v>
      </c>
      <c r="H10" s="17"/>
      <c r="I10" s="26"/>
      <c r="J10" s="27" t="s">
        <v>823</v>
      </c>
    </row>
    <row r="11" spans="1:10" s="3" customFormat="1" ht="30" customHeight="1">
      <c r="A11" s="11"/>
      <c r="B11" s="12">
        <v>46050</v>
      </c>
      <c r="C11" s="12"/>
      <c r="D11" s="13" t="s">
        <v>583</v>
      </c>
      <c r="E11" s="14" t="s">
        <v>824</v>
      </c>
      <c r="F11" s="15" t="s">
        <v>128</v>
      </c>
      <c r="G11" s="16">
        <v>100</v>
      </c>
      <c r="H11" s="17"/>
      <c r="I11" s="26"/>
      <c r="J11" s="27" t="s">
        <v>823</v>
      </c>
    </row>
    <row r="12" spans="1:10" s="3" customFormat="1" ht="30" customHeight="1">
      <c r="A12" s="11"/>
      <c r="B12" s="12">
        <v>46050</v>
      </c>
      <c r="C12" s="12"/>
      <c r="D12" s="13" t="s">
        <v>630</v>
      </c>
      <c r="E12" s="18" t="s">
        <v>825</v>
      </c>
      <c r="F12" s="15" t="s">
        <v>66</v>
      </c>
      <c r="G12" s="16">
        <v>1000</v>
      </c>
      <c r="H12" s="17"/>
      <c r="I12" s="26"/>
      <c r="J12" s="27" t="s">
        <v>823</v>
      </c>
    </row>
    <row r="13" spans="1:10" s="3" customFormat="1" ht="30" customHeight="1">
      <c r="A13" s="11"/>
      <c r="B13" s="12">
        <v>46050</v>
      </c>
      <c r="C13" s="12"/>
      <c r="D13" s="13" t="s">
        <v>630</v>
      </c>
      <c r="E13" s="18" t="s">
        <v>826</v>
      </c>
      <c r="F13" s="15" t="s">
        <v>66</v>
      </c>
      <c r="G13" s="16">
        <v>1000</v>
      </c>
      <c r="H13" s="17"/>
      <c r="I13" s="26"/>
      <c r="J13" s="27" t="s">
        <v>823</v>
      </c>
    </row>
    <row r="14" spans="1:10" s="3" customFormat="1" ht="30" customHeight="1">
      <c r="A14" s="11"/>
      <c r="B14" s="12">
        <v>46052</v>
      </c>
      <c r="C14" s="12"/>
      <c r="D14" s="13" t="s">
        <v>630</v>
      </c>
      <c r="E14" s="18" t="s">
        <v>827</v>
      </c>
      <c r="F14" s="15" t="s">
        <v>66</v>
      </c>
      <c r="G14" s="16">
        <v>200</v>
      </c>
      <c r="H14" s="17"/>
      <c r="I14" s="26"/>
      <c r="J14" s="27" t="s">
        <v>816</v>
      </c>
    </row>
    <row r="15" spans="1:10" s="3" customFormat="1" ht="30" customHeight="1">
      <c r="A15" s="11"/>
      <c r="B15" s="12">
        <v>46052</v>
      </c>
      <c r="C15" s="12"/>
      <c r="D15" s="13" t="s">
        <v>630</v>
      </c>
      <c r="E15" s="18" t="s">
        <v>828</v>
      </c>
      <c r="F15" s="15" t="s">
        <v>66</v>
      </c>
      <c r="G15" s="16">
        <v>600</v>
      </c>
      <c r="H15" s="17"/>
      <c r="I15" s="26"/>
      <c r="J15" s="27" t="s">
        <v>816</v>
      </c>
    </row>
    <row r="16" spans="1:10" s="3" customFormat="1" ht="30" customHeight="1">
      <c r="A16" s="11"/>
      <c r="B16" s="12">
        <v>46052</v>
      </c>
      <c r="C16" s="12"/>
      <c r="D16" s="13" t="s">
        <v>630</v>
      </c>
      <c r="E16" s="18" t="s">
        <v>825</v>
      </c>
      <c r="F16" s="15" t="s">
        <v>66</v>
      </c>
      <c r="G16" s="16">
        <v>800</v>
      </c>
      <c r="H16" s="17"/>
      <c r="I16" s="26"/>
      <c r="J16" s="27" t="s">
        <v>816</v>
      </c>
    </row>
    <row r="17" spans="1:10" s="3" customFormat="1" ht="30" customHeight="1">
      <c r="A17" s="11"/>
      <c r="B17" s="12">
        <v>46052</v>
      </c>
      <c r="C17" s="12"/>
      <c r="D17" s="13" t="s">
        <v>630</v>
      </c>
      <c r="E17" s="14" t="s">
        <v>826</v>
      </c>
      <c r="F17" s="15" t="s">
        <v>66</v>
      </c>
      <c r="G17" s="16">
        <v>800</v>
      </c>
      <c r="H17" s="17"/>
      <c r="I17" s="26"/>
      <c r="J17" s="27" t="s">
        <v>816</v>
      </c>
    </row>
    <row r="18" spans="1:10" s="3" customFormat="1" ht="30" customHeight="1">
      <c r="A18" s="11"/>
      <c r="B18" s="12">
        <v>46057</v>
      </c>
      <c r="C18" s="12"/>
      <c r="D18" s="13" t="s">
        <v>809</v>
      </c>
      <c r="E18" s="18" t="s">
        <v>578</v>
      </c>
      <c r="F18" s="15" t="s">
        <v>128</v>
      </c>
      <c r="G18" s="16">
        <v>250</v>
      </c>
      <c r="H18" s="17"/>
      <c r="I18" s="26"/>
      <c r="J18" s="27"/>
    </row>
    <row r="19" spans="1:10" s="3" customFormat="1" ht="30" customHeight="1">
      <c r="A19" s="11"/>
      <c r="B19" s="12">
        <v>46057</v>
      </c>
      <c r="C19" s="12"/>
      <c r="D19" s="13" t="s">
        <v>821</v>
      </c>
      <c r="E19" s="14" t="s">
        <v>822</v>
      </c>
      <c r="F19" s="15" t="s">
        <v>147</v>
      </c>
      <c r="G19" s="16">
        <v>30</v>
      </c>
      <c r="H19" s="17"/>
      <c r="I19" s="26"/>
      <c r="J19" s="27" t="s">
        <v>823</v>
      </c>
    </row>
    <row r="20" spans="1:10" s="3" customFormat="1" ht="30" customHeight="1">
      <c r="A20" s="11"/>
      <c r="B20" s="12">
        <v>46057</v>
      </c>
      <c r="C20" s="12"/>
      <c r="D20" s="13" t="s">
        <v>634</v>
      </c>
      <c r="E20" s="18"/>
      <c r="F20" s="15" t="s">
        <v>202</v>
      </c>
      <c r="G20" s="16">
        <v>10</v>
      </c>
      <c r="H20" s="17"/>
      <c r="I20" s="26"/>
      <c r="J20" s="27" t="s">
        <v>823</v>
      </c>
    </row>
    <row r="21" spans="1:10" s="3" customFormat="1" ht="30" customHeight="1">
      <c r="A21" s="11"/>
      <c r="B21" s="12">
        <v>46057</v>
      </c>
      <c r="C21" s="12"/>
      <c r="D21" s="13" t="s">
        <v>676</v>
      </c>
      <c r="E21" s="18" t="s">
        <v>829</v>
      </c>
      <c r="F21" s="15" t="s">
        <v>316</v>
      </c>
      <c r="G21" s="16">
        <v>3150</v>
      </c>
      <c r="H21" s="17"/>
      <c r="I21" s="26"/>
      <c r="J21" s="27" t="s">
        <v>823</v>
      </c>
    </row>
    <row r="22" spans="1:10" s="3" customFormat="1" ht="30" customHeight="1">
      <c r="A22" s="11"/>
      <c r="B22" s="12">
        <v>46058</v>
      </c>
      <c r="C22" s="12"/>
      <c r="D22" s="13" t="s">
        <v>634</v>
      </c>
      <c r="E22" s="14" t="s">
        <v>830</v>
      </c>
      <c r="F22" s="15" t="s">
        <v>202</v>
      </c>
      <c r="G22" s="16">
        <v>47</v>
      </c>
      <c r="H22" s="17"/>
      <c r="I22" s="26"/>
      <c r="J22" s="27" t="s">
        <v>816</v>
      </c>
    </row>
    <row r="23" spans="1:10" s="3" customFormat="1" ht="30" customHeight="1">
      <c r="A23" s="11"/>
      <c r="B23" s="12"/>
      <c r="C23" s="12"/>
      <c r="D23" s="13"/>
      <c r="E23" s="18"/>
      <c r="F23" s="15"/>
      <c r="G23" s="16"/>
      <c r="H23" s="17"/>
      <c r="I23" s="26"/>
      <c r="J23" s="27"/>
    </row>
    <row r="24" spans="1:10" s="3" customFormat="1" ht="30" customHeight="1">
      <c r="A24" s="11"/>
      <c r="B24" s="12"/>
      <c r="C24" s="12"/>
      <c r="D24" s="13"/>
      <c r="E24" s="18"/>
      <c r="F24" s="15"/>
      <c r="G24" s="16"/>
      <c r="H24" s="17"/>
      <c r="I24" s="26"/>
      <c r="J24" s="27"/>
    </row>
    <row r="25" spans="1:10" s="3" customFormat="1" ht="30" customHeight="1">
      <c r="A25" s="11"/>
      <c r="B25" s="12"/>
      <c r="C25" s="12"/>
      <c r="D25" s="13"/>
      <c r="E25" s="18"/>
      <c r="F25" s="15"/>
      <c r="G25" s="16"/>
      <c r="H25" s="17"/>
      <c r="I25" s="26"/>
      <c r="J25" s="27"/>
    </row>
    <row r="26" spans="1:10" s="3" customFormat="1" ht="30" customHeight="1">
      <c r="A26" s="11"/>
      <c r="B26" s="12"/>
      <c r="C26" s="12"/>
      <c r="D26" s="13"/>
      <c r="E26" s="14"/>
      <c r="F26" s="15"/>
      <c r="G26" s="16"/>
      <c r="H26" s="17"/>
      <c r="I26" s="26"/>
      <c r="J26" s="27"/>
    </row>
    <row r="27" spans="1:10" s="3" customFormat="1" ht="30" customHeight="1">
      <c r="A27" s="11"/>
      <c r="B27" s="12"/>
      <c r="C27" s="12"/>
      <c r="D27" s="13"/>
      <c r="E27" s="14"/>
      <c r="F27" s="15"/>
      <c r="G27" s="16"/>
      <c r="H27" s="17"/>
      <c r="I27" s="26"/>
      <c r="J27" s="27"/>
    </row>
    <row r="28" spans="1:10" s="3" customFormat="1" ht="30" customHeight="1">
      <c r="A28" s="11"/>
      <c r="B28" s="12"/>
      <c r="C28" s="12"/>
      <c r="D28" s="13"/>
      <c r="E28" s="14"/>
      <c r="F28" s="15"/>
      <c r="G28" s="16"/>
      <c r="H28" s="17"/>
      <c r="I28" s="26"/>
      <c r="J28" s="27"/>
    </row>
    <row r="29" spans="1:10" s="3" customFormat="1" ht="30" customHeight="1">
      <c r="A29" s="11"/>
      <c r="B29" s="12"/>
      <c r="C29" s="12"/>
      <c r="D29" s="13"/>
      <c r="E29" s="18"/>
      <c r="F29" s="15"/>
      <c r="G29" s="16"/>
      <c r="H29" s="17"/>
      <c r="I29" s="26"/>
      <c r="J29" s="27"/>
    </row>
    <row r="30" spans="1:10" s="3" customFormat="1" ht="30" customHeight="1">
      <c r="A30" s="11"/>
      <c r="B30" s="12"/>
      <c r="C30" s="12"/>
      <c r="D30" s="13"/>
      <c r="E30" s="18"/>
      <c r="F30" s="15"/>
      <c r="G30" s="16"/>
      <c r="H30" s="17"/>
      <c r="I30" s="26"/>
      <c r="J30" s="27"/>
    </row>
    <row r="31" spans="1:10" s="3" customFormat="1" ht="30" customHeight="1">
      <c r="A31" s="11"/>
      <c r="B31" s="12"/>
      <c r="C31" s="12"/>
      <c r="D31" s="13"/>
      <c r="E31" s="18"/>
      <c r="F31" s="15"/>
      <c r="G31" s="16"/>
      <c r="H31" s="17"/>
      <c r="I31" s="26"/>
      <c r="J31" s="27"/>
    </row>
    <row r="32" spans="1:10" s="3" customFormat="1" ht="30" customHeight="1">
      <c r="A32" s="11"/>
      <c r="B32" s="12"/>
      <c r="C32" s="12"/>
      <c r="D32" s="13"/>
      <c r="E32" s="18"/>
      <c r="F32" s="15"/>
      <c r="G32" s="16"/>
      <c r="H32" s="17"/>
      <c r="I32" s="26"/>
      <c r="J32" s="27"/>
    </row>
    <row r="33" spans="1:10" s="3" customFormat="1" ht="30" customHeight="1">
      <c r="A33" s="11"/>
      <c r="B33" s="12"/>
      <c r="C33" s="12"/>
      <c r="D33" s="13"/>
      <c r="E33" s="18"/>
      <c r="F33" s="15"/>
      <c r="G33" s="16"/>
      <c r="H33" s="17"/>
      <c r="I33" s="26"/>
      <c r="J33" s="27"/>
    </row>
    <row r="34" spans="1:10" s="3" customFormat="1" ht="30" customHeight="1">
      <c r="A34" s="11"/>
      <c r="B34" s="12"/>
      <c r="C34" s="12"/>
      <c r="D34" s="13"/>
      <c r="E34" s="18"/>
      <c r="F34" s="15"/>
      <c r="G34" s="16"/>
      <c r="H34" s="17"/>
      <c r="I34" s="26"/>
      <c r="J34" s="27"/>
    </row>
    <row r="35" spans="1:10" s="3" customFormat="1" ht="30" customHeight="1">
      <c r="A35" s="11"/>
      <c r="B35" s="12"/>
      <c r="C35" s="12"/>
      <c r="D35" s="13"/>
      <c r="E35" s="18"/>
      <c r="F35" s="15"/>
      <c r="G35" s="16"/>
      <c r="H35" s="17"/>
      <c r="I35" s="26"/>
      <c r="J35" s="27"/>
    </row>
    <row r="36" spans="1:10" s="3" customFormat="1" ht="30" customHeight="1">
      <c r="A36" s="11"/>
      <c r="B36" s="12"/>
      <c r="C36" s="12"/>
      <c r="D36" s="13"/>
      <c r="E36" s="18"/>
      <c r="F36" s="15"/>
      <c r="G36" s="16"/>
      <c r="H36" s="19"/>
      <c r="I36" s="26"/>
      <c r="J36" s="27"/>
    </row>
    <row r="37" spans="1:10" s="1" customFormat="1" ht="30" customHeight="1">
      <c r="A37" s="11"/>
      <c r="B37" s="12"/>
      <c r="C37" s="12"/>
      <c r="D37" s="20"/>
      <c r="E37" s="21"/>
      <c r="F37" s="22"/>
      <c r="G37" s="23"/>
      <c r="H37" s="24"/>
      <c r="I37" s="28"/>
      <c r="J37" s="29"/>
    </row>
    <row r="38" spans="1:10" s="1" customFormat="1" ht="30" customHeight="1">
      <c r="A38" s="11"/>
      <c r="B38" s="12"/>
      <c r="C38" s="12"/>
      <c r="D38" s="20"/>
      <c r="E38" s="21"/>
      <c r="F38" s="22"/>
      <c r="G38" s="23"/>
      <c r="H38" s="24"/>
      <c r="I38" s="28"/>
      <c r="J38" s="29"/>
    </row>
    <row r="39" spans="1:10" s="1" customFormat="1" ht="30" customHeight="1">
      <c r="A39" s="11"/>
      <c r="B39" s="12"/>
      <c r="C39" s="12"/>
      <c r="D39" s="20"/>
      <c r="E39" s="21"/>
      <c r="F39" s="22"/>
      <c r="G39" s="23"/>
      <c r="H39" s="24"/>
      <c r="I39" s="28"/>
      <c r="J39" s="29"/>
    </row>
    <row r="40" spans="1:10" s="1" customFormat="1" ht="30" customHeight="1">
      <c r="A40" s="11"/>
      <c r="B40" s="12"/>
      <c r="C40" s="12"/>
      <c r="D40" s="20"/>
      <c r="E40" s="21"/>
      <c r="F40" s="22"/>
      <c r="G40" s="23"/>
      <c r="H40" s="24"/>
      <c r="I40" s="28"/>
      <c r="J40" s="29"/>
    </row>
    <row r="41" spans="1:10" s="1" customFormat="1" ht="30" customHeight="1">
      <c r="A41" s="11"/>
      <c r="B41" s="12"/>
      <c r="C41" s="12"/>
      <c r="D41" s="20"/>
      <c r="E41" s="21"/>
      <c r="F41" s="22"/>
      <c r="G41" s="23"/>
      <c r="H41" s="24"/>
      <c r="I41" s="28"/>
      <c r="J41" s="29"/>
    </row>
    <row r="42" spans="1:10" s="1" customFormat="1" ht="30" customHeight="1">
      <c r="A42" s="11"/>
      <c r="B42" s="12"/>
      <c r="C42" s="12"/>
      <c r="D42" s="20"/>
      <c r="E42" s="21"/>
      <c r="F42" s="22"/>
      <c r="G42" s="23"/>
      <c r="H42" s="24"/>
      <c r="I42" s="28"/>
      <c r="J42" s="29"/>
    </row>
    <row r="43" spans="1:10" s="1" customFormat="1" ht="30" customHeight="1">
      <c r="A43" s="11"/>
      <c r="B43" s="12"/>
      <c r="C43" s="12"/>
      <c r="D43" s="20"/>
      <c r="E43" s="21"/>
      <c r="F43" s="22"/>
      <c r="G43" s="23"/>
      <c r="H43" s="24"/>
      <c r="I43" s="28"/>
      <c r="J43" s="29"/>
    </row>
    <row r="44" spans="1:10" s="1" customFormat="1" ht="30" customHeight="1">
      <c r="A44" s="11"/>
      <c r="B44" s="12"/>
      <c r="C44" s="12"/>
      <c r="D44" s="20"/>
      <c r="E44" s="21"/>
      <c r="F44" s="22"/>
      <c r="G44" s="23"/>
      <c r="H44" s="24"/>
      <c r="I44" s="28"/>
      <c r="J44" s="29"/>
    </row>
    <row r="45" spans="1:10" s="1" customFormat="1" ht="30" customHeight="1">
      <c r="A45" s="11"/>
      <c r="B45" s="12"/>
      <c r="C45" s="12"/>
      <c r="D45" s="20"/>
      <c r="E45" s="21"/>
      <c r="F45" s="22"/>
      <c r="G45" s="23"/>
      <c r="H45" s="24"/>
      <c r="I45" s="28"/>
      <c r="J45" s="29"/>
    </row>
    <row r="46" spans="1:10" s="1" customFormat="1" ht="30" customHeight="1">
      <c r="A46" s="11"/>
      <c r="B46" s="12"/>
      <c r="C46" s="12"/>
      <c r="D46" s="20"/>
      <c r="E46" s="21"/>
      <c r="F46" s="22"/>
      <c r="G46" s="23"/>
      <c r="H46" s="24"/>
      <c r="I46" s="28"/>
      <c r="J46" s="29"/>
    </row>
    <row r="47" spans="1:10" s="1" customFormat="1" ht="30" customHeight="1">
      <c r="A47" s="11"/>
      <c r="B47" s="12"/>
      <c r="C47" s="12"/>
      <c r="D47" s="20"/>
      <c r="E47" s="21"/>
      <c r="F47" s="22"/>
      <c r="G47" s="23"/>
      <c r="H47" s="24"/>
      <c r="I47" s="28"/>
      <c r="J47" s="29"/>
    </row>
    <row r="48" spans="1:10" s="1" customFormat="1" ht="30" customHeight="1">
      <c r="A48" s="11"/>
      <c r="B48" s="12"/>
      <c r="C48" s="12"/>
      <c r="D48" s="20"/>
      <c r="E48" s="21"/>
      <c r="F48" s="22"/>
      <c r="G48" s="23"/>
      <c r="H48" s="24"/>
      <c r="I48" s="28"/>
      <c r="J48" s="29"/>
    </row>
    <row r="49" spans="1:10" s="1" customFormat="1" ht="30" customHeight="1">
      <c r="A49" s="11"/>
      <c r="B49" s="12"/>
      <c r="C49" s="12"/>
      <c r="D49" s="20"/>
      <c r="E49" s="21"/>
      <c r="F49" s="22"/>
      <c r="G49" s="23"/>
      <c r="H49" s="24"/>
      <c r="I49" s="28"/>
      <c r="J49" s="29"/>
    </row>
  </sheetData>
  <autoFilter ref="A2:I39" xr:uid="{00000000-0009-0000-0000-000005000000}">
    <sortState xmlns:xlrd2="http://schemas.microsoft.com/office/spreadsheetml/2017/richdata2" ref="A2:I39">
      <sortCondition ref="B2:B36"/>
    </sortState>
  </autoFilter>
  <mergeCells count="1">
    <mergeCell ref="A1:E1"/>
  </mergeCells>
  <phoneticPr fontId="44" type="noConversion"/>
  <pageMargins left="0.69930555555555596" right="0.69930555555555596" top="0.75" bottom="0.75" header="0.3" footer="0.3"/>
  <pageSetup paperSize="9" scale="5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6</vt:i4>
      </vt:variant>
    </vt:vector>
  </HeadingPairs>
  <TitlesOfParts>
    <vt:vector size="12" baseType="lpstr">
      <vt:lpstr>總表</vt:lpstr>
      <vt:lpstr>倉庫</vt:lpstr>
      <vt:lpstr>點交紀錄</vt:lpstr>
      <vt:lpstr>HBO專案</vt:lpstr>
      <vt:lpstr>IQC</vt:lpstr>
      <vt:lpstr>簽收單點交紀錄</vt:lpstr>
      <vt:lpstr>HBO專案!Print_Area</vt:lpstr>
      <vt:lpstr>IQC!Print_Area</vt:lpstr>
      <vt:lpstr>倉庫!Print_Area</vt:lpstr>
      <vt:lpstr>總表!Print_Area</vt:lpstr>
      <vt:lpstr>點交紀錄!Print_Area</vt:lpstr>
      <vt:lpstr>簽收單點交紀錄!Print_Area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</dc:creator>
  <cp:lastModifiedBy>梁宜軒</cp:lastModifiedBy>
  <dcterms:created xsi:type="dcterms:W3CDTF">2026-02-26T12:37:00Z</dcterms:created>
  <dcterms:modified xsi:type="dcterms:W3CDTF">2026-06-08T06:58:22Z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